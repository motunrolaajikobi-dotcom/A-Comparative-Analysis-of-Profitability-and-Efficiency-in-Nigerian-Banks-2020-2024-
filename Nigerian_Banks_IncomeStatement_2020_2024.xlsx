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68fe68f4960bbb50/Documents/alex the analyst materials/"/>
    </mc:Choice>
  </mc:AlternateContent>
  <xr:revisionPtr revIDLastSave="3229" documentId="11_FCCA9FDBE259E8CBEA160B96C31BD2D5512F0397" xr6:coauthVersionLast="47" xr6:coauthVersionMax="47" xr10:uidLastSave="{018E7817-8F0A-41B1-B9E5-7B75EB53AFE4}"/>
  <bookViews>
    <workbookView xWindow="-108" yWindow="-108" windowWidth="23256" windowHeight="12456" xr2:uid="{00000000-000D-0000-FFFF-FFFF00000000}"/>
  </bookViews>
  <sheets>
    <sheet name="Dataset" sheetId="1" r:id="rId1"/>
    <sheet name="Pivot table" sheetId="2" r:id="rId2"/>
    <sheet name="dashboard" sheetId="3" r:id="rId3"/>
    <sheet name="Powerquery" sheetId="4" r:id="rId4"/>
  </sheets>
  <definedNames>
    <definedName name="_xlnm._FilterDatabase" localSheetId="0" hidden="1">Dataset!$A$1:$P$1</definedName>
    <definedName name="ExternalData_1" localSheetId="0" hidden="1">Dataset!$V$2:$W$500</definedName>
    <definedName name="ExternalData_1" localSheetId="3" hidden="1">Powerquery!$A$1:$B$499</definedName>
    <definedName name="ExternalData_3" localSheetId="0" hidden="1">Dataset!$AB$2:$AC$500</definedName>
    <definedName name="ExternalData_3" localSheetId="3" hidden="1">Powerquery!$E$1:$F$499</definedName>
    <definedName name="ExternalData_4" localSheetId="0" hidden="1">Dataset!$Y$2:$Z$502</definedName>
    <definedName name="ExternalData_4" localSheetId="1" hidden="1">'Pivot table'!#REF!</definedName>
    <definedName name="ExternalData_4" localSheetId="3" hidden="1">Powerquery!$C$1:$D$501</definedName>
    <definedName name="Slicer_Bank_Nam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16DF91-C5A7-483A-B896-B6926C54F293}"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6143151B-7802-4FAB-8BF8-2392B90FE25D}" keepAlive="1" name="Query - Table1 (10)" description="Connection to the 'Table1 (10)' query in the workbook." type="5" refreshedVersion="8" background="1" saveData="1">
    <dbPr connection="Provider=Microsoft.Mashup.OleDb.1;Data Source=$Workbook$;Location=&quot;Table1 (10)&quot;;Extended Properties=&quot;&quot;" command="SELECT * FROM [Table1 (10)]"/>
  </connection>
  <connection id="3" xr16:uid="{28B2C069-3648-432A-BF1F-38609A33C8ED}" keepAlive="1" name="Query - Table1 (11)" description="Connection to the 'Table1 (11)' query in the workbook." type="5" refreshedVersion="8" background="1" saveData="1">
    <dbPr connection="Provider=Microsoft.Mashup.OleDb.1;Data Source=$Workbook$;Location=&quot;Table1 (11)&quot;;Extended Properties=&quot;&quot;" command="SELECT * FROM [Table1 (11)]"/>
  </connection>
  <connection id="4" xr16:uid="{F1ABA1CD-295D-40B8-BD99-6631B0B4ED3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5" xr16:uid="{D62515F7-B17C-40CF-AD9E-A389112F3BCE}"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6" xr16:uid="{DDCE515A-2172-461C-B8AB-2D9B6F2D01C2}"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7" xr16:uid="{28B07BF3-46A7-40AA-9E6E-B06B3F94D3B1}"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 id="8" xr16:uid="{A5982B14-41EF-469D-8990-C6DBBD19DEA4}" keepAlive="1" name="Query - Table1 (6)" description="Connection to the 'Table1 (6)' query in the workbook." type="5" refreshedVersion="8" background="1" saveData="1">
    <dbPr connection="Provider=Microsoft.Mashup.OleDb.1;Data Source=$Workbook$;Location=&quot;Table1 (6)&quot;;Extended Properties=&quot;&quot;" command="SELECT * FROM [Table1 (6)]"/>
  </connection>
  <connection id="9" xr16:uid="{90AA4EEB-5927-4707-9B9F-EF2EFEF7802E}" keepAlive="1" name="Query - Table1 (7)" description="Connection to the 'Table1 (7)' query in the workbook." type="5" refreshedVersion="8" background="1" saveData="1">
    <dbPr connection="Provider=Microsoft.Mashup.OleDb.1;Data Source=$Workbook$;Location=&quot;Table1 (7)&quot;;Extended Properties=&quot;&quot;" command="SELECT * FROM [Table1 (7)]"/>
  </connection>
  <connection id="10" xr16:uid="{036CA97D-B04C-474A-B1AE-3F18B75111ED}" keepAlive="1" name="Query - Table1 (8)" description="Connection to the 'Table1 (8)' query in the workbook." type="5" refreshedVersion="8" background="1" saveData="1">
    <dbPr connection="Provider=Microsoft.Mashup.OleDb.1;Data Source=$Workbook$;Location=&quot;Table1 (8)&quot;;Extended Properties=&quot;&quot;" command="SELECT * FROM [Table1 (8)]"/>
  </connection>
  <connection id="11" xr16:uid="{4FD93B6A-F507-4DB8-ADC3-69D52DEB39DA}" keepAlive="1" name="Query - Table1 (9)" description="Connection to the 'Table1 (9)' query in the workbook." type="5" refreshedVersion="8" background="1" saveData="1">
    <dbPr connection="Provider=Microsoft.Mashup.OleDb.1;Data Source=$Workbook$;Location=&quot;Table1 (9)&quot;;Extended Properties=&quot;&quot;" command="SELECT * FROM [Table1 (9)]"/>
  </connection>
</connections>
</file>

<file path=xl/sharedStrings.xml><?xml version="1.0" encoding="utf-8"?>
<sst xmlns="http://schemas.openxmlformats.org/spreadsheetml/2006/main" count="1076" uniqueCount="539">
  <si>
    <t>Record_ID</t>
  </si>
  <si>
    <t>Bank_Name</t>
  </si>
  <si>
    <t>Year</t>
  </si>
  <si>
    <t>Interest_Income</t>
  </si>
  <si>
    <t>Interest_Expense</t>
  </si>
  <si>
    <t>Net_Interest_Income</t>
  </si>
  <si>
    <t>Operating_Income</t>
  </si>
  <si>
    <t>Operating_Expense</t>
  </si>
  <si>
    <t>Profit_Before_Tax</t>
  </si>
  <si>
    <t>Profit_After_Tax</t>
  </si>
  <si>
    <t>Total_Assets</t>
  </si>
  <si>
    <t>Total_Liabilities</t>
  </si>
  <si>
    <t>AC2020001</t>
  </si>
  <si>
    <t>AC2020002</t>
  </si>
  <si>
    <t>AC2020003</t>
  </si>
  <si>
    <t>AC2020004</t>
  </si>
  <si>
    <t>AC2020005</t>
  </si>
  <si>
    <t>AC2020006</t>
  </si>
  <si>
    <t>AC2020007</t>
  </si>
  <si>
    <t>AC2020008</t>
  </si>
  <si>
    <t>AC2020009</t>
  </si>
  <si>
    <t>AC2020010</t>
  </si>
  <si>
    <t>AC2020011</t>
  </si>
  <si>
    <t>AC2020012</t>
  </si>
  <si>
    <t>AC2020013</t>
  </si>
  <si>
    <t>AC2020014</t>
  </si>
  <si>
    <t>AC2020015</t>
  </si>
  <si>
    <t>AC2020016</t>
  </si>
  <si>
    <t>AC2020017</t>
  </si>
  <si>
    <t>AC2020018</t>
  </si>
  <si>
    <t>AC2020019</t>
  </si>
  <si>
    <t>AC2020020</t>
  </si>
  <si>
    <t>AC2021001</t>
  </si>
  <si>
    <t>AC2021002</t>
  </si>
  <si>
    <t>AC2021003</t>
  </si>
  <si>
    <t>AC2021004</t>
  </si>
  <si>
    <t>AC2021005</t>
  </si>
  <si>
    <t>AC2021006</t>
  </si>
  <si>
    <t>AC2021007</t>
  </si>
  <si>
    <t>AC2021008</t>
  </si>
  <si>
    <t>AC2021009</t>
  </si>
  <si>
    <t>AC2021010</t>
  </si>
  <si>
    <t>AC2021011</t>
  </si>
  <si>
    <t>AC2021012</t>
  </si>
  <si>
    <t>AC2021013</t>
  </si>
  <si>
    <t>AC2021014</t>
  </si>
  <si>
    <t>AC2021015</t>
  </si>
  <si>
    <t>AC2021016</t>
  </si>
  <si>
    <t>AC2021017</t>
  </si>
  <si>
    <t>AC2021018</t>
  </si>
  <si>
    <t>AC2021019</t>
  </si>
  <si>
    <t>AC2021020</t>
  </si>
  <si>
    <t>AC2022001</t>
  </si>
  <si>
    <t>AC2022002</t>
  </si>
  <si>
    <t>AC2022003</t>
  </si>
  <si>
    <t>AC2022004</t>
  </si>
  <si>
    <t>AC2022005</t>
  </si>
  <si>
    <t>AC2022006</t>
  </si>
  <si>
    <t>AC2022007</t>
  </si>
  <si>
    <t>AC2022008</t>
  </si>
  <si>
    <t>AC2022009</t>
  </si>
  <si>
    <t>AC2022010</t>
  </si>
  <si>
    <t>AC2022011</t>
  </si>
  <si>
    <t>AC2022012</t>
  </si>
  <si>
    <t>AC2022013</t>
  </si>
  <si>
    <t>AC2022014</t>
  </si>
  <si>
    <t>AC2022015</t>
  </si>
  <si>
    <t>AC2022016</t>
  </si>
  <si>
    <t>AC2022017</t>
  </si>
  <si>
    <t>AC2022018</t>
  </si>
  <si>
    <t>AC2022019</t>
  </si>
  <si>
    <t>AC2022020</t>
  </si>
  <si>
    <t>AC2023001</t>
  </si>
  <si>
    <t>AC2023002</t>
  </si>
  <si>
    <t>AC2023003</t>
  </si>
  <si>
    <t>AC2023004</t>
  </si>
  <si>
    <t>AC2023005</t>
  </si>
  <si>
    <t>AC2023006</t>
  </si>
  <si>
    <t>AC2023007</t>
  </si>
  <si>
    <t>AC2023008</t>
  </si>
  <si>
    <t>AC2023009</t>
  </si>
  <si>
    <t>AC2023010</t>
  </si>
  <si>
    <t>AC2023011</t>
  </si>
  <si>
    <t>AC2023012</t>
  </si>
  <si>
    <t>AC2023013</t>
  </si>
  <si>
    <t>AC2023014</t>
  </si>
  <si>
    <t>AC2023015</t>
  </si>
  <si>
    <t>AC2023016</t>
  </si>
  <si>
    <t>AC2023017</t>
  </si>
  <si>
    <t>AC2023018</t>
  </si>
  <si>
    <t>AC2023019</t>
  </si>
  <si>
    <t>AC2023020</t>
  </si>
  <si>
    <t>AC2024001</t>
  </si>
  <si>
    <t>AC2024002</t>
  </si>
  <si>
    <t>AC2024003</t>
  </si>
  <si>
    <t>AC2024004</t>
  </si>
  <si>
    <t>AC2024005</t>
  </si>
  <si>
    <t>AC2024006</t>
  </si>
  <si>
    <t>AC2024007</t>
  </si>
  <si>
    <t>AC2024008</t>
  </si>
  <si>
    <t>AC2024009</t>
  </si>
  <si>
    <t>AC2024010</t>
  </si>
  <si>
    <t>AC2024011</t>
  </si>
  <si>
    <t>AC2024012</t>
  </si>
  <si>
    <t>AC2024013</t>
  </si>
  <si>
    <t>AC2024014</t>
  </si>
  <si>
    <t>AC2024015</t>
  </si>
  <si>
    <t>AC2024016</t>
  </si>
  <si>
    <t>AC2024017</t>
  </si>
  <si>
    <t>AC2024018</t>
  </si>
  <si>
    <t>AC2024019</t>
  </si>
  <si>
    <t>AC2024020</t>
  </si>
  <si>
    <t>GT2020001</t>
  </si>
  <si>
    <t>GT2020002</t>
  </si>
  <si>
    <t>GT2020003</t>
  </si>
  <si>
    <t>GT2020004</t>
  </si>
  <si>
    <t>GT2020005</t>
  </si>
  <si>
    <t>GT2020006</t>
  </si>
  <si>
    <t>GT2020007</t>
  </si>
  <si>
    <t>GT2020008</t>
  </si>
  <si>
    <t>GT2020009</t>
  </si>
  <si>
    <t>GT2020010</t>
  </si>
  <si>
    <t>GT2020011</t>
  </si>
  <si>
    <t>GT2020012</t>
  </si>
  <si>
    <t>GT2020013</t>
  </si>
  <si>
    <t>GT2020014</t>
  </si>
  <si>
    <t>GT2020015</t>
  </si>
  <si>
    <t>GT2020016</t>
  </si>
  <si>
    <t>GT2020017</t>
  </si>
  <si>
    <t>GT2020018</t>
  </si>
  <si>
    <t>GT2020019</t>
  </si>
  <si>
    <t>GT2020020</t>
  </si>
  <si>
    <t>GT2021001</t>
  </si>
  <si>
    <t>GT2021002</t>
  </si>
  <si>
    <t>GT2021003</t>
  </si>
  <si>
    <t>GT2021004</t>
  </si>
  <si>
    <t>GT2021005</t>
  </si>
  <si>
    <t>GT2021006</t>
  </si>
  <si>
    <t>GT2021007</t>
  </si>
  <si>
    <t>GT2021008</t>
  </si>
  <si>
    <t>GT2021009</t>
  </si>
  <si>
    <t>GT2021010</t>
  </si>
  <si>
    <t>GT2021011</t>
  </si>
  <si>
    <t>GT2021012</t>
  </si>
  <si>
    <t>GT2021013</t>
  </si>
  <si>
    <t>GT2021014</t>
  </si>
  <si>
    <t>GT2021015</t>
  </si>
  <si>
    <t>GT2021016</t>
  </si>
  <si>
    <t>GT2021017</t>
  </si>
  <si>
    <t>GT2021018</t>
  </si>
  <si>
    <t>GT2021019</t>
  </si>
  <si>
    <t>GT2021020</t>
  </si>
  <si>
    <t>GT2022001</t>
  </si>
  <si>
    <t>GT2022002</t>
  </si>
  <si>
    <t>GT2022003</t>
  </si>
  <si>
    <t>GT2022004</t>
  </si>
  <si>
    <t>GT2022005</t>
  </si>
  <si>
    <t>GT2022006</t>
  </si>
  <si>
    <t>GT2022007</t>
  </si>
  <si>
    <t>GT2022008</t>
  </si>
  <si>
    <t>GT2022009</t>
  </si>
  <si>
    <t>GT2022010</t>
  </si>
  <si>
    <t>GT2022011</t>
  </si>
  <si>
    <t>GT2022012</t>
  </si>
  <si>
    <t>GT2022013</t>
  </si>
  <si>
    <t>GT2022014</t>
  </si>
  <si>
    <t>GT2022015</t>
  </si>
  <si>
    <t>GT2022016</t>
  </si>
  <si>
    <t>GT2022017</t>
  </si>
  <si>
    <t>GT2022018</t>
  </si>
  <si>
    <t>GT2022019</t>
  </si>
  <si>
    <t>GT2022020</t>
  </si>
  <si>
    <t>GT2023001</t>
  </si>
  <si>
    <t>GT2023002</t>
  </si>
  <si>
    <t>GT2023003</t>
  </si>
  <si>
    <t>GT2023004</t>
  </si>
  <si>
    <t>GT2023005</t>
  </si>
  <si>
    <t>GT2023006</t>
  </si>
  <si>
    <t>GT2023007</t>
  </si>
  <si>
    <t>GT2023008</t>
  </si>
  <si>
    <t>GT2023009</t>
  </si>
  <si>
    <t>GT2023010</t>
  </si>
  <si>
    <t>GT2023011</t>
  </si>
  <si>
    <t>GT2023012</t>
  </si>
  <si>
    <t>GT2023013</t>
  </si>
  <si>
    <t>GT2023014</t>
  </si>
  <si>
    <t>GT2023015</t>
  </si>
  <si>
    <t>GT2023016</t>
  </si>
  <si>
    <t>GT2023017</t>
  </si>
  <si>
    <t>GT2023018</t>
  </si>
  <si>
    <t>GT2023019</t>
  </si>
  <si>
    <t>GT2023020</t>
  </si>
  <si>
    <t>GT2024001</t>
  </si>
  <si>
    <t>GT2024002</t>
  </si>
  <si>
    <t>GT2024003</t>
  </si>
  <si>
    <t>GT2024004</t>
  </si>
  <si>
    <t>GT2024005</t>
  </si>
  <si>
    <t>GT2024006</t>
  </si>
  <si>
    <t>GT2024007</t>
  </si>
  <si>
    <t>GT2024008</t>
  </si>
  <si>
    <t>GT2024009</t>
  </si>
  <si>
    <t>GT2024010</t>
  </si>
  <si>
    <t>GT2024011</t>
  </si>
  <si>
    <t>GT2024012</t>
  </si>
  <si>
    <t>GT2024013</t>
  </si>
  <si>
    <t>GT2024014</t>
  </si>
  <si>
    <t>GT2024015</t>
  </si>
  <si>
    <t>GT2024016</t>
  </si>
  <si>
    <t>GT2024017</t>
  </si>
  <si>
    <t>GT2024018</t>
  </si>
  <si>
    <t>GT2024019</t>
  </si>
  <si>
    <t>GT2024020</t>
  </si>
  <si>
    <t>ZE2020001</t>
  </si>
  <si>
    <t>ZE2020002</t>
  </si>
  <si>
    <t>ZE2020003</t>
  </si>
  <si>
    <t>ZE2020004</t>
  </si>
  <si>
    <t>ZE2020005</t>
  </si>
  <si>
    <t>ZE2020006</t>
  </si>
  <si>
    <t>ZE2020007</t>
  </si>
  <si>
    <t>ZE2020008</t>
  </si>
  <si>
    <t>ZE2020009</t>
  </si>
  <si>
    <t>ZE2020010</t>
  </si>
  <si>
    <t>ZE2020011</t>
  </si>
  <si>
    <t>ZE2020012</t>
  </si>
  <si>
    <t>ZE2020013</t>
  </si>
  <si>
    <t>ZE2020014</t>
  </si>
  <si>
    <t>ZE2020015</t>
  </si>
  <si>
    <t>ZE2020016</t>
  </si>
  <si>
    <t>ZE2020017</t>
  </si>
  <si>
    <t>ZE2020018</t>
  </si>
  <si>
    <t>ZE2020019</t>
  </si>
  <si>
    <t>ZE2020020</t>
  </si>
  <si>
    <t>ZE2021001</t>
  </si>
  <si>
    <t>ZE2021002</t>
  </si>
  <si>
    <t>ZE2021003</t>
  </si>
  <si>
    <t>ZE2021004</t>
  </si>
  <si>
    <t>ZE2021005</t>
  </si>
  <si>
    <t>ZE2021006</t>
  </si>
  <si>
    <t>ZE2021007</t>
  </si>
  <si>
    <t>ZE2021008</t>
  </si>
  <si>
    <t>ZE2021009</t>
  </si>
  <si>
    <t>ZE2021010</t>
  </si>
  <si>
    <t>ZE2021011</t>
  </si>
  <si>
    <t>ZE2021012</t>
  </si>
  <si>
    <t>ZE2021013</t>
  </si>
  <si>
    <t>ZE2021014</t>
  </si>
  <si>
    <t>ZE2021015</t>
  </si>
  <si>
    <t>ZE2021016</t>
  </si>
  <si>
    <t>ZE2021017</t>
  </si>
  <si>
    <t>ZE2021018</t>
  </si>
  <si>
    <t>ZE2021019</t>
  </si>
  <si>
    <t>ZE2021020</t>
  </si>
  <si>
    <t>ZE2022001</t>
  </si>
  <si>
    <t>ZE2022002</t>
  </si>
  <si>
    <t>ZE2022003</t>
  </si>
  <si>
    <t>ZE2022004</t>
  </si>
  <si>
    <t>ZE2022005</t>
  </si>
  <si>
    <t>ZE2022006</t>
  </si>
  <si>
    <t>ZE2022007</t>
  </si>
  <si>
    <t>ZE2022008</t>
  </si>
  <si>
    <t>ZE2022009</t>
  </si>
  <si>
    <t>ZE2022010</t>
  </si>
  <si>
    <t>ZE2022011</t>
  </si>
  <si>
    <t>ZE2022012</t>
  </si>
  <si>
    <t>ZE2022013</t>
  </si>
  <si>
    <t>ZE2022014</t>
  </si>
  <si>
    <t>ZE2022015</t>
  </si>
  <si>
    <t>ZE2022016</t>
  </si>
  <si>
    <t>ZE2022017</t>
  </si>
  <si>
    <t>ZE2022018</t>
  </si>
  <si>
    <t>ZE2022019</t>
  </si>
  <si>
    <t>ZE2022020</t>
  </si>
  <si>
    <t>ZE2023001</t>
  </si>
  <si>
    <t>ZE2023002</t>
  </si>
  <si>
    <t>ZE2023003</t>
  </si>
  <si>
    <t>ZE2023004</t>
  </si>
  <si>
    <t>ZE2023005</t>
  </si>
  <si>
    <t>ZE2023006</t>
  </si>
  <si>
    <t>ZE2023007</t>
  </si>
  <si>
    <t>ZE2023008</t>
  </si>
  <si>
    <t>ZE2023009</t>
  </si>
  <si>
    <t>ZE2023010</t>
  </si>
  <si>
    <t>ZE2023011</t>
  </si>
  <si>
    <t>ZE2023012</t>
  </si>
  <si>
    <t>ZE2023013</t>
  </si>
  <si>
    <t>ZE2023014</t>
  </si>
  <si>
    <t>ZE2023015</t>
  </si>
  <si>
    <t>ZE2023016</t>
  </si>
  <si>
    <t>ZE2023017</t>
  </si>
  <si>
    <t>ZE2023018</t>
  </si>
  <si>
    <t>ZE2023019</t>
  </si>
  <si>
    <t>ZE2023020</t>
  </si>
  <si>
    <t>ZE2024001</t>
  </si>
  <si>
    <t>ZE2024002</t>
  </si>
  <si>
    <t>ZE2024003</t>
  </si>
  <si>
    <t>ZE2024004</t>
  </si>
  <si>
    <t>ZE2024005</t>
  </si>
  <si>
    <t>ZE2024006</t>
  </si>
  <si>
    <t>ZE2024007</t>
  </si>
  <si>
    <t>ZE2024008</t>
  </si>
  <si>
    <t>ZE2024009</t>
  </si>
  <si>
    <t>ZE2024010</t>
  </si>
  <si>
    <t>ZE2024011</t>
  </si>
  <si>
    <t>ZE2024012</t>
  </si>
  <si>
    <t>ZE2024013</t>
  </si>
  <si>
    <t>ZE2024014</t>
  </si>
  <si>
    <t>ZE2024015</t>
  </si>
  <si>
    <t>ZE2024016</t>
  </si>
  <si>
    <t>ZE2024017</t>
  </si>
  <si>
    <t>ZE2024018</t>
  </si>
  <si>
    <t>ZE2024019</t>
  </si>
  <si>
    <t>ZE2024020</t>
  </si>
  <si>
    <t>UB2020001</t>
  </si>
  <si>
    <t>UB2020002</t>
  </si>
  <si>
    <t>UB2020003</t>
  </si>
  <si>
    <t>UB2020004</t>
  </si>
  <si>
    <t>UB2020005</t>
  </si>
  <si>
    <t>UB2020006</t>
  </si>
  <si>
    <t>UB2020007</t>
  </si>
  <si>
    <t>UB2020008</t>
  </si>
  <si>
    <t>UB2020009</t>
  </si>
  <si>
    <t>UB2020010</t>
  </si>
  <si>
    <t>UB2020011</t>
  </si>
  <si>
    <t>UB2020012</t>
  </si>
  <si>
    <t>UB2020013</t>
  </si>
  <si>
    <t>UB2020014</t>
  </si>
  <si>
    <t>UB2020015</t>
  </si>
  <si>
    <t>UB2020016</t>
  </si>
  <si>
    <t>UB2020017</t>
  </si>
  <si>
    <t>UB2020018</t>
  </si>
  <si>
    <t>UB2020019</t>
  </si>
  <si>
    <t>UB2020020</t>
  </si>
  <si>
    <t>UB2021001</t>
  </si>
  <si>
    <t>UB2021002</t>
  </si>
  <si>
    <t>UB2021003</t>
  </si>
  <si>
    <t>UB2021004</t>
  </si>
  <si>
    <t>UB2021005</t>
  </si>
  <si>
    <t>UB2021006</t>
  </si>
  <si>
    <t>UB2021007</t>
  </si>
  <si>
    <t>UB2021008</t>
  </si>
  <si>
    <t>UB2021009</t>
  </si>
  <si>
    <t>UB2021010</t>
  </si>
  <si>
    <t>UB2021011</t>
  </si>
  <si>
    <t>UB2021012</t>
  </si>
  <si>
    <t>UB2021013</t>
  </si>
  <si>
    <t>UB2021014</t>
  </si>
  <si>
    <t>UB2021015</t>
  </si>
  <si>
    <t>UB2021016</t>
  </si>
  <si>
    <t>UB2021017</t>
  </si>
  <si>
    <t>UB2021018</t>
  </si>
  <si>
    <t>UB2021019</t>
  </si>
  <si>
    <t>UB2021020</t>
  </si>
  <si>
    <t>UB2022001</t>
  </si>
  <si>
    <t>UB2022002</t>
  </si>
  <si>
    <t>UB2022003</t>
  </si>
  <si>
    <t>UB2022004</t>
  </si>
  <si>
    <t>UB2022005</t>
  </si>
  <si>
    <t>UB2022006</t>
  </si>
  <si>
    <t>UB2022007</t>
  </si>
  <si>
    <t>UB2022008</t>
  </si>
  <si>
    <t>UB2022009</t>
  </si>
  <si>
    <t>UB2022010</t>
  </si>
  <si>
    <t>UB2022011</t>
  </si>
  <si>
    <t>UB2022012</t>
  </si>
  <si>
    <t>UB2022013</t>
  </si>
  <si>
    <t>UB2022014</t>
  </si>
  <si>
    <t>UB2022015</t>
  </si>
  <si>
    <t>UB2022016</t>
  </si>
  <si>
    <t>UB2022017</t>
  </si>
  <si>
    <t>UB2022018</t>
  </si>
  <si>
    <t>UB2022019</t>
  </si>
  <si>
    <t>UB2022020</t>
  </si>
  <si>
    <t>UB2023001</t>
  </si>
  <si>
    <t>UB2023002</t>
  </si>
  <si>
    <t>UB2023003</t>
  </si>
  <si>
    <t>UB2023004</t>
  </si>
  <si>
    <t>UB2023005</t>
  </si>
  <si>
    <t>UB2023006</t>
  </si>
  <si>
    <t>UB2023007</t>
  </si>
  <si>
    <t>UB2023008</t>
  </si>
  <si>
    <t>UB2023009</t>
  </si>
  <si>
    <t>UB2023010</t>
  </si>
  <si>
    <t>UB2023011</t>
  </si>
  <si>
    <t>UB2023012</t>
  </si>
  <si>
    <t>UB2023013</t>
  </si>
  <si>
    <t>UB2023014</t>
  </si>
  <si>
    <t>UB2023015</t>
  </si>
  <si>
    <t>UB2023016</t>
  </si>
  <si>
    <t>UB2023017</t>
  </si>
  <si>
    <t>UB2023018</t>
  </si>
  <si>
    <t>UB2023019</t>
  </si>
  <si>
    <t>UB2023020</t>
  </si>
  <si>
    <t>UB2024001</t>
  </si>
  <si>
    <t>UB2024002</t>
  </si>
  <si>
    <t>UB2024003</t>
  </si>
  <si>
    <t>UB2024004</t>
  </si>
  <si>
    <t>UB2024005</t>
  </si>
  <si>
    <t>UB2024006</t>
  </si>
  <si>
    <t>UB2024007</t>
  </si>
  <si>
    <t>UB2024008</t>
  </si>
  <si>
    <t>UB2024009</t>
  </si>
  <si>
    <t>UB2024010</t>
  </si>
  <si>
    <t>UB2024011</t>
  </si>
  <si>
    <t>UB2024012</t>
  </si>
  <si>
    <t>UB2024013</t>
  </si>
  <si>
    <t>UB2024014</t>
  </si>
  <si>
    <t>UB2024015</t>
  </si>
  <si>
    <t>UB2024016</t>
  </si>
  <si>
    <t>UB2024017</t>
  </si>
  <si>
    <t>UB2024018</t>
  </si>
  <si>
    <t>UB2024019</t>
  </si>
  <si>
    <t>UB2024020</t>
  </si>
  <si>
    <t>FI2020001</t>
  </si>
  <si>
    <t>FI2020002</t>
  </si>
  <si>
    <t>FI2020003</t>
  </si>
  <si>
    <t>FI2020004</t>
  </si>
  <si>
    <t>FI2020005</t>
  </si>
  <si>
    <t>FI2020006</t>
  </si>
  <si>
    <t>FI2020007</t>
  </si>
  <si>
    <t>FI2020008</t>
  </si>
  <si>
    <t>FI2020009</t>
  </si>
  <si>
    <t>FI2020010</t>
  </si>
  <si>
    <t>FI2020011</t>
  </si>
  <si>
    <t>FI2020012</t>
  </si>
  <si>
    <t>FI2020013</t>
  </si>
  <si>
    <t>FI2020014</t>
  </si>
  <si>
    <t>FI2020015</t>
  </si>
  <si>
    <t>FI2020016</t>
  </si>
  <si>
    <t>FI2020017</t>
  </si>
  <si>
    <t>FI2020018</t>
  </si>
  <si>
    <t>FI2020019</t>
  </si>
  <si>
    <t>FI2020020</t>
  </si>
  <si>
    <t>FI2021001</t>
  </si>
  <si>
    <t>FI2021002</t>
  </si>
  <si>
    <t>FI2021003</t>
  </si>
  <si>
    <t>FI2021004</t>
  </si>
  <si>
    <t>FI2021005</t>
  </si>
  <si>
    <t>FI2021006</t>
  </si>
  <si>
    <t>FI2021007</t>
  </si>
  <si>
    <t>FI2021008</t>
  </si>
  <si>
    <t>FI2021009</t>
  </si>
  <si>
    <t>FI2021010</t>
  </si>
  <si>
    <t>FI2021011</t>
  </si>
  <si>
    <t>FI2021012</t>
  </si>
  <si>
    <t>FI2021013</t>
  </si>
  <si>
    <t>FI2021014</t>
  </si>
  <si>
    <t>FI2021015</t>
  </si>
  <si>
    <t>FI2021016</t>
  </si>
  <si>
    <t>FI2021017</t>
  </si>
  <si>
    <t>FI2021018</t>
  </si>
  <si>
    <t>FI2021019</t>
  </si>
  <si>
    <t>FI2021020</t>
  </si>
  <si>
    <t>FI2022001</t>
  </si>
  <si>
    <t>FI2022002</t>
  </si>
  <si>
    <t>FI2022003</t>
  </si>
  <si>
    <t>FI2022004</t>
  </si>
  <si>
    <t>FI2022005</t>
  </si>
  <si>
    <t>FI2022006</t>
  </si>
  <si>
    <t>FI2022007</t>
  </si>
  <si>
    <t>FI2022008</t>
  </si>
  <si>
    <t>FI2022009</t>
  </si>
  <si>
    <t>FI2022010</t>
  </si>
  <si>
    <t>FI2022011</t>
  </si>
  <si>
    <t>FI2022012</t>
  </si>
  <si>
    <t>FI2022013</t>
  </si>
  <si>
    <t>FI2022014</t>
  </si>
  <si>
    <t>FI2022015</t>
  </si>
  <si>
    <t>FI2022016</t>
  </si>
  <si>
    <t>FI2022017</t>
  </si>
  <si>
    <t>FI2022018</t>
  </si>
  <si>
    <t>FI2022019</t>
  </si>
  <si>
    <t>FI2022020</t>
  </si>
  <si>
    <t>FI2023001</t>
  </si>
  <si>
    <t>FI2023002</t>
  </si>
  <si>
    <t>FI2023003</t>
  </si>
  <si>
    <t>FI2023004</t>
  </si>
  <si>
    <t>FI2023005</t>
  </si>
  <si>
    <t>FI2023006</t>
  </si>
  <si>
    <t>FI2023007</t>
  </si>
  <si>
    <t>FI2023008</t>
  </si>
  <si>
    <t>FI2023009</t>
  </si>
  <si>
    <t>FI2023010</t>
  </si>
  <si>
    <t>FI2023011</t>
  </si>
  <si>
    <t>FI2023012</t>
  </si>
  <si>
    <t>FI2023013</t>
  </si>
  <si>
    <t>FI2023014</t>
  </si>
  <si>
    <t>FI2023015</t>
  </si>
  <si>
    <t>FI2023016</t>
  </si>
  <si>
    <t>FI2023017</t>
  </si>
  <si>
    <t>FI2023018</t>
  </si>
  <si>
    <t>FI2023019</t>
  </si>
  <si>
    <t>FI2023020</t>
  </si>
  <si>
    <t>FI2024001</t>
  </si>
  <si>
    <t>FI2024002</t>
  </si>
  <si>
    <t>FI2024003</t>
  </si>
  <si>
    <t>FI2024004</t>
  </si>
  <si>
    <t>FI2024005</t>
  </si>
  <si>
    <t>FI2024006</t>
  </si>
  <si>
    <t>FI2024007</t>
  </si>
  <si>
    <t>FI2024008</t>
  </si>
  <si>
    <t>FI2024009</t>
  </si>
  <si>
    <t>FI2024010</t>
  </si>
  <si>
    <t>FI2024011</t>
  </si>
  <si>
    <t>FI2024012</t>
  </si>
  <si>
    <t>FI2024013</t>
  </si>
  <si>
    <t>FI2024014</t>
  </si>
  <si>
    <t>FI2024015</t>
  </si>
  <si>
    <t>FI2024016</t>
  </si>
  <si>
    <t>FI2024017</t>
  </si>
  <si>
    <t>FI2024018</t>
  </si>
  <si>
    <t>FI2024019</t>
  </si>
  <si>
    <t>FI2024020</t>
  </si>
  <si>
    <t>Access Bank</t>
  </si>
  <si>
    <t>GTBank</t>
  </si>
  <si>
    <t>Zenith Bank</t>
  </si>
  <si>
    <t>UBA</t>
  </si>
  <si>
    <t>First Bank</t>
  </si>
  <si>
    <t>Profit margin</t>
  </si>
  <si>
    <t>Assets to liabilities ratio</t>
  </si>
  <si>
    <t xml:space="preserve">Average interest income </t>
  </si>
  <si>
    <t>Average net interest income</t>
  </si>
  <si>
    <t>Row Labels</t>
  </si>
  <si>
    <t>Grand Total</t>
  </si>
  <si>
    <t>Sum of Operating_Income</t>
  </si>
  <si>
    <t>Sum of Profit_After_Tax</t>
  </si>
  <si>
    <t>Sum of Net_Interest_Income</t>
  </si>
  <si>
    <t>Sum of Total_Assets</t>
  </si>
  <si>
    <t>Sum of Profit_Before_Tax</t>
  </si>
  <si>
    <t>Cost to income</t>
  </si>
  <si>
    <t>Net interest margin</t>
  </si>
  <si>
    <t>Sum of Cost to income</t>
  </si>
  <si>
    <t>Sum of Net interest margin</t>
  </si>
  <si>
    <t>Sum of Profit margin</t>
  </si>
  <si>
    <t>Sum</t>
  </si>
  <si>
    <t>Sum of Net</t>
  </si>
  <si>
    <t>Sum of PBT</t>
  </si>
  <si>
    <t>% of Profit_After_Tax</t>
  </si>
  <si>
    <t>Sum of Total_Liabilities</t>
  </si>
  <si>
    <t>Sum of Interest_Income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</si>
</sst>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809]* #,##0.00_-;\-[$£-809]* #,##0.00_-;_-[$£-809]* &quot;-&quot;??_-;_-@_-"/>
    <numFmt numFmtId="165" formatCode="_-[$£-809]* #,##0_-;\-[$£-809]* #,##0_-;_-[$£-809]* &quot;-&quot;??_-;_-@_-"/>
    <numFmt numFmtId="166" formatCode="0.0%"/>
    <numFmt numFmtId="167" formatCode="_-[$£-809]* #,##0_-;\-[$£-809]* #,##0_-;_-[$£-809]* &quot;-&quot;_-;_-@_-"/>
  </numFmts>
  <fonts count="7" x14ac:knownFonts="1">
    <font>
      <sz val="11"/>
      <color theme="1"/>
      <name val="Calibri"/>
      <family val="2"/>
      <scheme val="minor"/>
    </font>
    <font>
      <b/>
      <sz val="11"/>
      <color theme="1"/>
      <name val="Calibri"/>
      <family val="2"/>
      <scheme val="minor"/>
    </font>
    <font>
      <b/>
      <sz val="13.5"/>
      <color theme="1"/>
      <name val="Calibri"/>
      <family val="2"/>
      <scheme val="minor"/>
    </font>
    <font>
      <i/>
      <sz val="11"/>
      <color theme="1"/>
      <name val="Calibri"/>
      <family val="2"/>
      <scheme val="minor"/>
    </font>
    <font>
      <sz val="18"/>
      <color theme="1"/>
      <name val="Calibri"/>
      <family val="2"/>
      <scheme val="minor"/>
    </font>
    <font>
      <sz val="12"/>
      <color theme="1"/>
      <name val="Calibri"/>
      <family val="2"/>
      <scheme val="minor"/>
    </font>
    <font>
      <sz val="16"/>
      <color theme="1"/>
      <name val="Cambria"/>
      <family val="1"/>
      <scheme val="major"/>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int="0.3999755851924192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2" fontId="1" fillId="0" borderId="2" xfId="0" applyNumberFormat="1" applyFont="1" applyBorder="1" applyAlignment="1">
      <alignment horizontal="center" vertical="top"/>
    </xf>
    <xf numFmtId="2" fontId="0" fillId="0" borderId="0" xfId="0" applyNumberFormat="1"/>
    <xf numFmtId="165" fontId="0" fillId="0" borderId="0" xfId="0" applyNumberFormat="1"/>
    <xf numFmtId="166" fontId="0" fillId="0" borderId="0" xfId="0" applyNumberFormat="1"/>
    <xf numFmtId="10" fontId="1" fillId="0" borderId="2" xfId="0" applyNumberFormat="1" applyFont="1" applyBorder="1" applyAlignment="1">
      <alignment horizontal="center" vertical="top"/>
    </xf>
    <xf numFmtId="167" fontId="0" fillId="0" borderId="0" xfId="0" applyNumberFormat="1"/>
    <xf numFmtId="165" fontId="1" fillId="2" borderId="3" xfId="0" applyNumberFormat="1" applyFont="1" applyFill="1" applyBorder="1"/>
    <xf numFmtId="0" fontId="0" fillId="0" borderId="4" xfId="0" applyBorder="1"/>
    <xf numFmtId="0" fontId="0" fillId="0" borderId="5" xfId="0" applyBorder="1"/>
    <xf numFmtId="0" fontId="0" fillId="0" borderId="6" xfId="0"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165" fontId="0" fillId="0" borderId="12" xfId="0" applyNumberFormat="1" applyBorder="1"/>
    <xf numFmtId="0" fontId="2" fillId="0" borderId="0" xfId="0" applyFont="1" applyAlignment="1">
      <alignment vertical="center"/>
    </xf>
    <xf numFmtId="0" fontId="3"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4" fillId="0" borderId="0" xfId="0" applyFont="1" applyAlignment="1">
      <alignment vertical="center"/>
    </xf>
    <xf numFmtId="0" fontId="0" fillId="0" borderId="0" xfId="0" applyAlignment="1">
      <alignment vertical="center"/>
    </xf>
    <xf numFmtId="0" fontId="6" fillId="0" borderId="0" xfId="0" applyFont="1"/>
    <xf numFmtId="0" fontId="5" fillId="0" borderId="0" xfId="0" applyFont="1" applyAlignment="1">
      <alignment vertical="center"/>
    </xf>
  </cellXfs>
  <cellStyles count="1">
    <cellStyle name="Normal" xfId="0" builtinId="0"/>
  </cellStyles>
  <dxfs count="27">
    <dxf>
      <numFmt numFmtId="165" formatCode="_-[$£-809]* #,##0_-;\-[$£-809]* #,##0_-;_-[$£-809]* &quot;-&quot;??_-;_-@_-"/>
    </dxf>
    <dxf>
      <numFmt numFmtId="14" formatCode="0.00%"/>
    </dxf>
    <dxf>
      <numFmt numFmtId="14" formatCode="0.00%"/>
    </dxf>
    <dxf>
      <numFmt numFmtId="165" formatCode="_-[$£-809]* #,##0_-;\-[$£-809]* #,##0_-;_-[$£-809]* &quot;-&quot;??_-;_-@_-"/>
    </dxf>
    <dxf>
      <numFmt numFmtId="165" formatCode="_-[$£-809]* #,##0_-;\-[$£-809]* #,##0_-;_-[$£-809]* &quot;-&quot;??_-;_-@_-"/>
    </dxf>
    <dxf>
      <numFmt numFmtId="167" formatCode="_-[$£-809]* #,##0_-;\-[$£-809]* #,##0_-;_-[$£-809]* &quot;-&quot;_-;_-@_-"/>
    </dxf>
    <dxf>
      <numFmt numFmtId="165" formatCode="_-[$£-809]* #,##0_-;\-[$£-809]* #,##0_-;_-[$£-809]* &quot;-&quot;??_-;_-@_-"/>
    </dxf>
    <dxf>
      <numFmt numFmtId="165" formatCode="_-[$£-809]* #,##0_-;\-[$£-809]* #,##0_-;_-[$£-809]* &quot;-&quot;??_-;_-@_-"/>
    </dxf>
    <dxf>
      <numFmt numFmtId="165" formatCode="_-[$£-809]* #,##0_-;\-[$£-809]* #,##0_-;_-[$£-809]* &quot;-&quot;??_-;_-@_-"/>
    </dxf>
    <dxf>
      <numFmt numFmtId="165" formatCode="_-[$£-809]* #,##0_-;\-[$£-809]* #,##0_-;_-[$£-809]* &quot;-&quot;??_-;_-@_-"/>
    </dxf>
    <dxf>
      <numFmt numFmtId="166" formatCode="0.0%"/>
    </dxf>
    <dxf>
      <numFmt numFmtId="2" formatCode="0.00"/>
    </dxf>
    <dxf>
      <numFmt numFmtId="14" formatCode="0.00%"/>
    </dxf>
    <dxf>
      <numFmt numFmtId="2" formatCode="0.00"/>
    </dxf>
    <dxf>
      <numFmt numFmtId="14" formatCode="0.00%"/>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numFmt numFmtId="164" formatCode="_-[$£-809]* #,##0.00_-;\-[$£-809]* #,##0.00_-;_-[$£-809]* &quot;-&quot;??_-;_-@_-"/>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table!Net interest 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Total Net Interest Income</a:t>
            </a:r>
            <a:endParaRPr lang="en-US" b="1">
              <a:solidFill>
                <a:schemeClr val="tx1"/>
              </a:solidFill>
            </a:endParaRPr>
          </a:p>
        </c:rich>
      </c:tx>
      <c:overlay val="0"/>
      <c:spPr>
        <a:solidFill>
          <a:schemeClr val="accent4">
            <a:lumMod val="40000"/>
            <a:lumOff val="60000"/>
          </a:schemeClr>
        </a:solidFill>
        <a:ln>
          <a:solidFill>
            <a:srgbClr val="7030A0">
              <a:alpha val="80000"/>
            </a:srgb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rgbClr val="7030A0"/>
            </a:solidFill>
            <a:ln>
              <a:noFill/>
            </a:ln>
            <a:effectLst/>
          </c:spPr>
          <c:invertIfNegative val="0"/>
          <c:cat>
            <c:strRef>
              <c:f>'Pivot table'!$A$36:$A$41</c:f>
              <c:strCache>
                <c:ptCount val="5"/>
                <c:pt idx="0">
                  <c:v>GTBank</c:v>
                </c:pt>
                <c:pt idx="1">
                  <c:v>UBA</c:v>
                </c:pt>
                <c:pt idx="2">
                  <c:v>Zenith Bank</c:v>
                </c:pt>
                <c:pt idx="3">
                  <c:v>First Bank</c:v>
                </c:pt>
                <c:pt idx="4">
                  <c:v>Access Bank</c:v>
                </c:pt>
              </c:strCache>
            </c:strRef>
          </c:cat>
          <c:val>
            <c:numRef>
              <c:f>'Pivot table'!$B$36:$B$41</c:f>
              <c:numCache>
                <c:formatCode>_-[$£-809]* #,##0_-;\-[$£-809]* #,##0_-;_-[$£-809]* "-"??_-;_-@_-</c:formatCode>
                <c:ptCount val="5"/>
                <c:pt idx="0">
                  <c:v>8751245</c:v>
                </c:pt>
                <c:pt idx="1">
                  <c:v>8510826</c:v>
                </c:pt>
                <c:pt idx="2">
                  <c:v>8159241</c:v>
                </c:pt>
                <c:pt idx="3">
                  <c:v>8140473</c:v>
                </c:pt>
                <c:pt idx="4">
                  <c:v>7211499</c:v>
                </c:pt>
              </c:numCache>
            </c:numRef>
          </c:val>
          <c:extLst>
            <c:ext xmlns:c16="http://schemas.microsoft.com/office/drawing/2014/chart" uri="{C3380CC4-5D6E-409C-BE32-E72D297353CC}">
              <c16:uniqueId val="{00000000-7E52-4035-9D1D-9FEE9AF9DC16}"/>
            </c:ext>
          </c:extLst>
        </c:ser>
        <c:dLbls>
          <c:showLegendKey val="0"/>
          <c:showVal val="0"/>
          <c:showCatName val="0"/>
          <c:showSerName val="0"/>
          <c:showPercent val="0"/>
          <c:showBubbleSize val="0"/>
        </c:dLbls>
        <c:gapWidth val="219"/>
        <c:overlap val="-27"/>
        <c:axId val="47287359"/>
        <c:axId val="47288319"/>
      </c:barChart>
      <c:catAx>
        <c:axId val="4728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288319"/>
        <c:crosses val="autoZero"/>
        <c:auto val="1"/>
        <c:lblAlgn val="ctr"/>
        <c:lblOffset val="100"/>
        <c:noMultiLvlLbl val="0"/>
      </c:catAx>
      <c:valAx>
        <c:axId val="47288319"/>
        <c:scaling>
          <c:orientation val="minMax"/>
          <c:min val="130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287359"/>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 PAT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 Of Profit After Tax</a:t>
            </a:r>
          </a:p>
        </c:rich>
      </c:tx>
      <c:overlay val="0"/>
      <c:spPr>
        <a:solidFill>
          <a:schemeClr val="accent4">
            <a:lumMod val="40000"/>
            <a:lumOff val="60000"/>
          </a:schemeClr>
        </a:solidFill>
        <a:ln>
          <a:solidFill>
            <a:srgbClr val="7030A0">
              <a:alpha val="80000"/>
            </a:srgb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dLbl>
          <c:idx val="0"/>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table'!$B$46</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2-C588-47CF-B98D-F7F8D171B5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88-47CF-B98D-F7F8D171B5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588-47CF-B98D-F7F8D171B5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588-47CF-B98D-F7F8D171B5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C588-47CF-B98D-F7F8D171B57E}"/>
              </c:ext>
            </c:extLst>
          </c:dPt>
          <c:dLbls>
            <c:dLbl>
              <c:idx val="0"/>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88-47CF-B98D-F7F8D171B5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table'!$A$47:$A$52</c:f>
              <c:strCache>
                <c:ptCount val="5"/>
                <c:pt idx="0">
                  <c:v>Access Bank</c:v>
                </c:pt>
                <c:pt idx="1">
                  <c:v>First Bank</c:v>
                </c:pt>
                <c:pt idx="2">
                  <c:v>GTBank</c:v>
                </c:pt>
                <c:pt idx="3">
                  <c:v>UBA</c:v>
                </c:pt>
                <c:pt idx="4">
                  <c:v>Zenith Bank</c:v>
                </c:pt>
              </c:strCache>
            </c:strRef>
          </c:cat>
          <c:val>
            <c:numRef>
              <c:f>'Pivot table'!$B$47:$B$52</c:f>
              <c:numCache>
                <c:formatCode>0.00%</c:formatCode>
                <c:ptCount val="5"/>
                <c:pt idx="0">
                  <c:v>0.18499864606312047</c:v>
                </c:pt>
                <c:pt idx="1">
                  <c:v>0.20664669665329422</c:v>
                </c:pt>
                <c:pt idx="2">
                  <c:v>0.21999649453074197</c:v>
                </c:pt>
                <c:pt idx="3">
                  <c:v>0.19995953746177653</c:v>
                </c:pt>
                <c:pt idx="4">
                  <c:v>0.1883986252910668</c:v>
                </c:pt>
              </c:numCache>
            </c:numRef>
          </c:val>
          <c:extLst>
            <c:ext xmlns:c16="http://schemas.microsoft.com/office/drawing/2014/chart" uri="{C3380CC4-5D6E-409C-BE32-E72D297353CC}">
              <c16:uniqueId val="{00000000-C588-47CF-B98D-F7F8D171B57E}"/>
            </c:ext>
          </c:extLst>
        </c:ser>
        <c:dLbls>
          <c:showLegendKey val="0"/>
          <c:showVal val="1"/>
          <c:showCatName val="0"/>
          <c:showSerName val="0"/>
          <c:showPercent val="0"/>
          <c:showBubbleSize val="0"/>
          <c:showLeaderLines val="1"/>
        </c:dLbls>
        <c:firstSliceAng val="0"/>
        <c:holeSize val="7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table!Interest income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Interest</a:t>
            </a:r>
            <a:r>
              <a:rPr lang="en-US" b="1" baseline="0">
                <a:solidFill>
                  <a:sysClr val="windowText" lastClr="000000"/>
                </a:solidFill>
              </a:rPr>
              <a:t> Income</a:t>
            </a:r>
            <a:endParaRPr lang="en-US" b="1">
              <a:solidFill>
                <a:sysClr val="windowText" lastClr="000000"/>
              </a:solidFill>
            </a:endParaRP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table'!$B$77</c:f>
              <c:strCache>
                <c:ptCount val="1"/>
                <c:pt idx="0">
                  <c:v>Total</c:v>
                </c:pt>
              </c:strCache>
            </c:strRef>
          </c:tx>
          <c:spPr>
            <a:solidFill>
              <a:srgbClr val="7030A0"/>
            </a:solidFill>
            <a:ln>
              <a:noFill/>
            </a:ln>
            <a:effectLst/>
          </c:spPr>
          <c:invertIfNegative val="0"/>
          <c:cat>
            <c:strRef>
              <c:f>'Pivot table'!$A$78:$A$83</c:f>
              <c:strCache>
                <c:ptCount val="5"/>
                <c:pt idx="0">
                  <c:v>GTBank</c:v>
                </c:pt>
                <c:pt idx="1">
                  <c:v>Zenith Bank</c:v>
                </c:pt>
                <c:pt idx="2">
                  <c:v>UBA</c:v>
                </c:pt>
                <c:pt idx="3">
                  <c:v>First Bank</c:v>
                </c:pt>
                <c:pt idx="4">
                  <c:v>Access Bank</c:v>
                </c:pt>
              </c:strCache>
            </c:strRef>
          </c:cat>
          <c:val>
            <c:numRef>
              <c:f>'Pivot table'!$B$78:$B$83</c:f>
              <c:numCache>
                <c:formatCode>_-[$£-809]* #,##0_-;\-[$£-809]* #,##0_-;_-[$£-809]* "-"??_-;_-@_-</c:formatCode>
                <c:ptCount val="5"/>
                <c:pt idx="0">
                  <c:v>13104977</c:v>
                </c:pt>
                <c:pt idx="1">
                  <c:v>12930125</c:v>
                </c:pt>
                <c:pt idx="2">
                  <c:v>12892324</c:v>
                </c:pt>
                <c:pt idx="3">
                  <c:v>12675845</c:v>
                </c:pt>
                <c:pt idx="4">
                  <c:v>11694123</c:v>
                </c:pt>
              </c:numCache>
            </c:numRef>
          </c:val>
          <c:extLst>
            <c:ext xmlns:c16="http://schemas.microsoft.com/office/drawing/2014/chart" uri="{C3380CC4-5D6E-409C-BE32-E72D297353CC}">
              <c16:uniqueId val="{00000000-84BB-496A-8B83-EFC35C63506C}"/>
            </c:ext>
          </c:extLst>
        </c:ser>
        <c:dLbls>
          <c:showLegendKey val="0"/>
          <c:showVal val="0"/>
          <c:showCatName val="0"/>
          <c:showSerName val="0"/>
          <c:showPercent val="0"/>
          <c:showBubbleSize val="0"/>
        </c:dLbls>
        <c:gapWidth val="243"/>
        <c:axId val="1992291807"/>
        <c:axId val="1992293727"/>
      </c:barChart>
      <c:catAx>
        <c:axId val="19922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3727"/>
        <c:crosses val="autoZero"/>
        <c:auto val="1"/>
        <c:lblAlgn val="ctr"/>
        <c:lblOffset val="100"/>
        <c:noMultiLvlLbl val="0"/>
      </c:catAx>
      <c:valAx>
        <c:axId val="1992293727"/>
        <c:scaling>
          <c:orientation val="minMax"/>
          <c:max val="14000000"/>
          <c:min val="200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Profit Before Tax</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7030A0"/>
            </a:solidFill>
            <a:ln>
              <a:noFill/>
            </a:ln>
            <a:effectLst/>
          </c:spPr>
          <c:invertIfNegative val="0"/>
          <c:cat>
            <c:strLit>
              <c:ptCount val="5"/>
              <c:pt idx="0">
                <c:v>Access Bank</c:v>
              </c:pt>
              <c:pt idx="1">
                <c:v>Zenith Bank</c:v>
              </c:pt>
              <c:pt idx="2">
                <c:v>UBA</c:v>
              </c:pt>
              <c:pt idx="3">
                <c:v>First Bank</c:v>
              </c:pt>
              <c:pt idx="4">
                <c:v>GTBank</c:v>
              </c:pt>
            </c:strLit>
          </c:cat>
          <c:val>
            <c:numLit>
              <c:formatCode>General</c:formatCode>
              <c:ptCount val="5"/>
              <c:pt idx="0">
                <c:v>8531859</c:v>
              </c:pt>
              <c:pt idx="1">
                <c:v>8812330</c:v>
              </c:pt>
              <c:pt idx="2">
                <c:v>9185660</c:v>
              </c:pt>
              <c:pt idx="3">
                <c:v>9577523</c:v>
              </c:pt>
              <c:pt idx="4">
                <c:v>9975392</c:v>
              </c:pt>
            </c:numLit>
          </c:val>
          <c:extLst>
            <c:ext xmlns:c16="http://schemas.microsoft.com/office/drawing/2014/chart" uri="{C3380CC4-5D6E-409C-BE32-E72D297353CC}">
              <c16:uniqueId val="{00000000-5A08-4A95-A34C-E017DF6B4B42}"/>
            </c:ext>
          </c:extLst>
        </c:ser>
        <c:dLbls>
          <c:showLegendKey val="0"/>
          <c:showVal val="0"/>
          <c:showCatName val="0"/>
          <c:showSerName val="0"/>
          <c:showPercent val="0"/>
          <c:showBubbleSize val="0"/>
        </c:dLbls>
        <c:gapWidth val="182"/>
        <c:axId val="1992287487"/>
        <c:axId val="1992290847"/>
      </c:barChart>
      <c:catAx>
        <c:axId val="199228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0847"/>
        <c:crosses val="autoZero"/>
        <c:auto val="1"/>
        <c:lblAlgn val="ctr"/>
        <c:lblOffset val="100"/>
        <c:noMultiLvlLbl val="0"/>
      </c:catAx>
      <c:valAx>
        <c:axId val="1992290847"/>
        <c:scaling>
          <c:orientation val="minMax"/>
          <c:min val="1500000"/>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87487"/>
        <c:crosses val="autoZero"/>
        <c:crossBetween val="between"/>
        <c:majorUnit val="2400000"/>
        <c:min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table!Operating income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Total Operating Income</a:t>
            </a:r>
            <a:endParaRPr lang="en-US" b="1">
              <a:solidFill>
                <a:sysClr val="windowText" lastClr="000000"/>
              </a:solidFill>
            </a:endParaRPr>
          </a:p>
        </c:rich>
      </c:tx>
      <c:overlay val="0"/>
      <c:spPr>
        <a:solidFill>
          <a:schemeClr val="accent4">
            <a:lumMod val="40000"/>
            <a:lumOff val="60000"/>
          </a:schemeClr>
        </a:solidFill>
        <a:ln>
          <a:solidFill>
            <a:schemeClr val="accent4">
              <a:lumMod val="50000"/>
              <a:alpha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7030A0"/>
              </a:solidFill>
              <a:round/>
            </a:ln>
            <a:effectLst/>
          </c:spPr>
          <c:marker>
            <c:symbol val="none"/>
          </c:marker>
          <c:cat>
            <c:strRef>
              <c:f>'Pivot table'!$A$4:$A$9</c:f>
              <c:strCache>
                <c:ptCount val="5"/>
                <c:pt idx="0">
                  <c:v>GTBank</c:v>
                </c:pt>
                <c:pt idx="1">
                  <c:v>First Bank</c:v>
                </c:pt>
                <c:pt idx="2">
                  <c:v>UBA</c:v>
                </c:pt>
                <c:pt idx="3">
                  <c:v>Zenith Bank</c:v>
                </c:pt>
                <c:pt idx="4">
                  <c:v>Access Bank</c:v>
                </c:pt>
              </c:strCache>
            </c:strRef>
          </c:cat>
          <c:val>
            <c:numRef>
              <c:f>'Pivot table'!$B$4:$B$9</c:f>
              <c:numCache>
                <c:formatCode>_-[$£-809]* #,##0_-;\-[$£-809]* #,##0_-;_-[$£-809]* "-"??_-;_-@_-</c:formatCode>
                <c:ptCount val="5"/>
                <c:pt idx="0">
                  <c:v>15414025</c:v>
                </c:pt>
                <c:pt idx="1">
                  <c:v>15319609</c:v>
                </c:pt>
                <c:pt idx="2">
                  <c:v>14953973</c:v>
                </c:pt>
                <c:pt idx="3">
                  <c:v>14478650</c:v>
                </c:pt>
                <c:pt idx="4">
                  <c:v>14126238</c:v>
                </c:pt>
              </c:numCache>
            </c:numRef>
          </c:val>
          <c:smooth val="0"/>
          <c:extLst>
            <c:ext xmlns:c16="http://schemas.microsoft.com/office/drawing/2014/chart" uri="{C3380CC4-5D6E-409C-BE32-E72D297353CC}">
              <c16:uniqueId val="{00000000-4C9F-4393-B224-249129438481}"/>
            </c:ext>
          </c:extLst>
        </c:ser>
        <c:dLbls>
          <c:showLegendKey val="0"/>
          <c:showVal val="0"/>
          <c:showCatName val="0"/>
          <c:showSerName val="0"/>
          <c:showPercent val="0"/>
          <c:showBubbleSize val="0"/>
        </c:dLbls>
        <c:smooth val="0"/>
        <c:axId val="128321631"/>
        <c:axId val="115826255"/>
      </c:lineChart>
      <c:catAx>
        <c:axId val="1283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5826255"/>
        <c:crosses val="autoZero"/>
        <c:auto val="1"/>
        <c:lblAlgn val="ctr"/>
        <c:lblOffset val="100"/>
        <c:noMultiLvlLbl val="0"/>
      </c:catAx>
      <c:valAx>
        <c:axId val="115826255"/>
        <c:scaling>
          <c:orientation val="minMax"/>
          <c:max val="16100000.000000002"/>
          <c:min val="200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8321631"/>
        <c:crosses val="autoZero"/>
        <c:crossBetween val="between"/>
        <c:majorUnit val="2000000"/>
        <c:minorUnit val="4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 PAT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 Of Profit After Tax</a:t>
            </a:r>
          </a:p>
        </c:rich>
      </c:tx>
      <c:overlay val="0"/>
      <c:spPr>
        <a:solidFill>
          <a:schemeClr val="accent4">
            <a:lumMod val="40000"/>
            <a:lumOff val="60000"/>
          </a:schemeClr>
        </a:solidFill>
        <a:ln>
          <a:solidFill>
            <a:srgbClr val="7030A0">
              <a:alpha val="80000"/>
            </a:srgb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9.195402298850574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solidFill>
              <a:schemeClr val="lt1"/>
            </a:solidFill>
          </a:ln>
          <a:effectLst/>
        </c:spPr>
        <c:dLbl>
          <c:idx val="0"/>
          <c:layout>
            <c:manualLayout>
              <c:x val="7.47126436781609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solidFill>
              <a:schemeClr val="lt1"/>
            </a:solidFill>
          </a:ln>
          <a:effectLst/>
        </c:spPr>
        <c:dLbl>
          <c:idx val="0"/>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w="19050">
            <a:solidFill>
              <a:schemeClr val="lt1"/>
            </a:solidFill>
          </a:ln>
          <a:effectLst/>
        </c:spPr>
        <c:dLbl>
          <c:idx val="0"/>
          <c:layout>
            <c:manualLayout>
              <c:x val="-6.0344827586206899E-2"/>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w="19050">
            <a:solidFill>
              <a:schemeClr val="lt1"/>
            </a:solidFill>
          </a:ln>
          <a:effectLst/>
        </c:spPr>
        <c:dLbl>
          <c:idx val="0"/>
          <c:layout>
            <c:manualLayout>
              <c:x val="-5.4597701149425311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dLbl>
          <c:idx val="0"/>
          <c:layout>
            <c:manualLayout>
              <c:x val="9.195402298850574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7.47126436781609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dLbl>
          <c:idx val="0"/>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dLbl>
          <c:idx val="0"/>
          <c:layout>
            <c:manualLayout>
              <c:x val="-6.0344827586206899E-2"/>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20000"/>
              <a:lumOff val="80000"/>
            </a:schemeClr>
          </a:solidFill>
          <a:ln w="19050">
            <a:solidFill>
              <a:schemeClr val="lt1"/>
            </a:solidFill>
          </a:ln>
          <a:effectLst/>
        </c:spPr>
        <c:dLbl>
          <c:idx val="0"/>
          <c:layout>
            <c:manualLayout>
              <c:x val="-5.4597701149425311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w="19050">
            <a:solidFill>
              <a:schemeClr val="lt1"/>
            </a:solidFill>
          </a:ln>
          <a:effectLst/>
        </c:spPr>
        <c:dLbl>
          <c:idx val="0"/>
          <c:layout>
            <c:manualLayout>
              <c:x val="9.195402298850574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w="19050">
            <a:solidFill>
              <a:schemeClr val="lt1"/>
            </a:solidFill>
          </a:ln>
          <a:effectLst/>
        </c:spPr>
        <c:dLbl>
          <c:idx val="0"/>
          <c:layout>
            <c:manualLayout>
              <c:x val="7.47126436781609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w="19050">
            <a:solidFill>
              <a:schemeClr val="lt1"/>
            </a:solidFill>
          </a:ln>
          <a:effectLst/>
        </c:spPr>
        <c:dLbl>
          <c:idx val="0"/>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40000"/>
              <a:lumOff val="60000"/>
            </a:schemeClr>
          </a:solidFill>
          <a:ln w="19050">
            <a:solidFill>
              <a:schemeClr val="lt1"/>
            </a:solidFill>
          </a:ln>
          <a:effectLst/>
        </c:spPr>
        <c:dLbl>
          <c:idx val="0"/>
          <c:layout>
            <c:manualLayout>
              <c:x val="-6.0344827586206899E-2"/>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w="19050">
            <a:solidFill>
              <a:schemeClr val="lt1"/>
            </a:solidFill>
          </a:ln>
          <a:effectLst/>
        </c:spPr>
        <c:dLbl>
          <c:idx val="0"/>
          <c:layout>
            <c:manualLayout>
              <c:x val="-5.4597701149425311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table'!$B$46</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1183-4769-B5C5-B067FF2987A2}"/>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183-4769-B5C5-B067FF2987A2}"/>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1183-4769-B5C5-B067FF2987A2}"/>
              </c:ext>
            </c:extLst>
          </c:dPt>
          <c:dPt>
            <c:idx val="3"/>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7-1183-4769-B5C5-B067FF2987A2}"/>
              </c:ext>
            </c:extLst>
          </c:dPt>
          <c:dPt>
            <c:idx val="4"/>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9-1183-4769-B5C5-B067FF2987A2}"/>
              </c:ext>
            </c:extLst>
          </c:dPt>
          <c:dLbls>
            <c:dLbl>
              <c:idx val="0"/>
              <c:layout>
                <c:manualLayout>
                  <c:x val="9.195402298850574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83-4769-B5C5-B067FF2987A2}"/>
                </c:ext>
              </c:extLst>
            </c:dLbl>
            <c:dLbl>
              <c:idx val="1"/>
              <c:layout>
                <c:manualLayout>
                  <c:x val="7.471264367816092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83-4769-B5C5-B067FF2987A2}"/>
                </c:ext>
              </c:extLst>
            </c:dLbl>
            <c:dLbl>
              <c:idx val="2"/>
              <c:layout>
                <c:manualLayout>
                  <c:x val="-2.8735632183908046E-3"/>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83-4769-B5C5-B067FF2987A2}"/>
                </c:ext>
              </c:extLst>
            </c:dLbl>
            <c:dLbl>
              <c:idx val="3"/>
              <c:layout>
                <c:manualLayout>
                  <c:x val="-6.0344827586206899E-2"/>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83-4769-B5C5-B067FF2987A2}"/>
                </c:ext>
              </c:extLst>
            </c:dLbl>
            <c:dLbl>
              <c:idx val="4"/>
              <c:layout>
                <c:manualLayout>
                  <c:x val="-5.4597701149425311E-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83-4769-B5C5-B067FF2987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table'!$A$47:$A$52</c:f>
              <c:strCache>
                <c:ptCount val="5"/>
                <c:pt idx="0">
                  <c:v>Access Bank</c:v>
                </c:pt>
                <c:pt idx="1">
                  <c:v>First Bank</c:v>
                </c:pt>
                <c:pt idx="2">
                  <c:v>GTBank</c:v>
                </c:pt>
                <c:pt idx="3">
                  <c:v>UBA</c:v>
                </c:pt>
                <c:pt idx="4">
                  <c:v>Zenith Bank</c:v>
                </c:pt>
              </c:strCache>
            </c:strRef>
          </c:cat>
          <c:val>
            <c:numRef>
              <c:f>'Pivot table'!$B$47:$B$52</c:f>
              <c:numCache>
                <c:formatCode>0.00%</c:formatCode>
                <c:ptCount val="5"/>
                <c:pt idx="0">
                  <c:v>0.18499864606312047</c:v>
                </c:pt>
                <c:pt idx="1">
                  <c:v>0.20664669665329422</c:v>
                </c:pt>
                <c:pt idx="2">
                  <c:v>0.21999649453074197</c:v>
                </c:pt>
                <c:pt idx="3">
                  <c:v>0.19995953746177653</c:v>
                </c:pt>
                <c:pt idx="4">
                  <c:v>0.1883986252910668</c:v>
                </c:pt>
              </c:numCache>
            </c:numRef>
          </c:val>
          <c:extLst>
            <c:ext xmlns:c16="http://schemas.microsoft.com/office/drawing/2014/chart" uri="{C3380CC4-5D6E-409C-BE32-E72D297353CC}">
              <c16:uniqueId val="{0000000A-1183-4769-B5C5-B067FF2987A2}"/>
            </c:ext>
          </c:extLst>
        </c:ser>
        <c:dLbls>
          <c:showLegendKey val="0"/>
          <c:showVal val="1"/>
          <c:showCatName val="0"/>
          <c:showSerName val="0"/>
          <c:showPercent val="0"/>
          <c:showBubbleSize val="0"/>
          <c:showLeaderLines val="1"/>
        </c:dLbls>
        <c:firstSliceAng val="0"/>
        <c:holeSize val="7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Operating Income VS Profit Before Tax (PBT)</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Powerquery!$D$1</c:f>
              <c:strCache>
                <c:ptCount val="1"/>
                <c:pt idx="0">
                  <c:v>Sum of PBT</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Powerquery!$C$2:$C$501</c:f>
              <c:numCache>
                <c:formatCode>General</c:formatCode>
                <c:ptCount val="500"/>
                <c:pt idx="0">
                  <c:v>167023</c:v>
                </c:pt>
                <c:pt idx="1">
                  <c:v>188859</c:v>
                </c:pt>
                <c:pt idx="2">
                  <c:v>63989</c:v>
                </c:pt>
                <c:pt idx="3">
                  <c:v>188544</c:v>
                </c:pt>
                <c:pt idx="4">
                  <c:v>157387</c:v>
                </c:pt>
                <c:pt idx="5">
                  <c:v>6192</c:v>
                </c:pt>
                <c:pt idx="6">
                  <c:v>153220</c:v>
                </c:pt>
                <c:pt idx="7">
                  <c:v>90089</c:v>
                </c:pt>
                <c:pt idx="8">
                  <c:v>75993</c:v>
                </c:pt>
                <c:pt idx="9">
                  <c:v>133012</c:v>
                </c:pt>
                <c:pt idx="10">
                  <c:v>212813</c:v>
                </c:pt>
                <c:pt idx="11">
                  <c:v>67539</c:v>
                </c:pt>
                <c:pt idx="12">
                  <c:v>24794</c:v>
                </c:pt>
                <c:pt idx="13">
                  <c:v>134899</c:v>
                </c:pt>
                <c:pt idx="14">
                  <c:v>191286</c:v>
                </c:pt>
                <c:pt idx="15">
                  <c:v>244451</c:v>
                </c:pt>
                <c:pt idx="16">
                  <c:v>284830</c:v>
                </c:pt>
                <c:pt idx="17">
                  <c:v>143686</c:v>
                </c:pt>
                <c:pt idx="18">
                  <c:v>143909</c:v>
                </c:pt>
                <c:pt idx="19">
                  <c:v>19469</c:v>
                </c:pt>
                <c:pt idx="20">
                  <c:v>92374</c:v>
                </c:pt>
                <c:pt idx="21">
                  <c:v>107245</c:v>
                </c:pt>
                <c:pt idx="22">
                  <c:v>116402</c:v>
                </c:pt>
                <c:pt idx="23">
                  <c:v>125461</c:v>
                </c:pt>
                <c:pt idx="24">
                  <c:v>136889</c:v>
                </c:pt>
                <c:pt idx="25">
                  <c:v>175966</c:v>
                </c:pt>
                <c:pt idx="26">
                  <c:v>172005</c:v>
                </c:pt>
                <c:pt idx="27">
                  <c:v>191560</c:v>
                </c:pt>
                <c:pt idx="28">
                  <c:v>194970</c:v>
                </c:pt>
                <c:pt idx="29">
                  <c:v>28708</c:v>
                </c:pt>
                <c:pt idx="30">
                  <c:v>86254</c:v>
                </c:pt>
                <c:pt idx="31">
                  <c:v>187082</c:v>
                </c:pt>
                <c:pt idx="32">
                  <c:v>147225</c:v>
                </c:pt>
                <c:pt idx="33">
                  <c:v>228512</c:v>
                </c:pt>
                <c:pt idx="34">
                  <c:v>112511</c:v>
                </c:pt>
                <c:pt idx="35">
                  <c:v>90434</c:v>
                </c:pt>
                <c:pt idx="36">
                  <c:v>136156</c:v>
                </c:pt>
                <c:pt idx="37">
                  <c:v>221866</c:v>
                </c:pt>
                <c:pt idx="38">
                  <c:v>139623</c:v>
                </c:pt>
                <c:pt idx="39">
                  <c:v>166551</c:v>
                </c:pt>
                <c:pt idx="40">
                  <c:v>156298</c:v>
                </c:pt>
                <c:pt idx="41">
                  <c:v>154068</c:v>
                </c:pt>
                <c:pt idx="42">
                  <c:v>115018</c:v>
                </c:pt>
                <c:pt idx="43">
                  <c:v>125044</c:v>
                </c:pt>
                <c:pt idx="44">
                  <c:v>108091</c:v>
                </c:pt>
                <c:pt idx="45">
                  <c:v>128785</c:v>
                </c:pt>
                <c:pt idx="46">
                  <c:v>84802</c:v>
                </c:pt>
                <c:pt idx="47">
                  <c:v>103710</c:v>
                </c:pt>
                <c:pt idx="48">
                  <c:v>92032</c:v>
                </c:pt>
                <c:pt idx="49">
                  <c:v>116563</c:v>
                </c:pt>
                <c:pt idx="50">
                  <c:v>87661</c:v>
                </c:pt>
                <c:pt idx="51">
                  <c:v>87668</c:v>
                </c:pt>
                <c:pt idx="52">
                  <c:v>181667</c:v>
                </c:pt>
                <c:pt idx="53">
                  <c:v>207974</c:v>
                </c:pt>
                <c:pt idx="54">
                  <c:v>159626</c:v>
                </c:pt>
                <c:pt idx="55">
                  <c:v>200117</c:v>
                </c:pt>
                <c:pt idx="56">
                  <c:v>237473</c:v>
                </c:pt>
                <c:pt idx="57">
                  <c:v>220446</c:v>
                </c:pt>
                <c:pt idx="58">
                  <c:v>91069</c:v>
                </c:pt>
                <c:pt idx="59">
                  <c:v>187457</c:v>
                </c:pt>
                <c:pt idx="60">
                  <c:v>101514</c:v>
                </c:pt>
                <c:pt idx="61">
                  <c:v>163430</c:v>
                </c:pt>
                <c:pt idx="62">
                  <c:v>54822</c:v>
                </c:pt>
                <c:pt idx="63">
                  <c:v>108799</c:v>
                </c:pt>
                <c:pt idx="64">
                  <c:v>156504</c:v>
                </c:pt>
                <c:pt idx="65">
                  <c:v>218268</c:v>
                </c:pt>
                <c:pt idx="66">
                  <c:v>133819</c:v>
                </c:pt>
                <c:pt idx="67">
                  <c:v>217614</c:v>
                </c:pt>
                <c:pt idx="68">
                  <c:v>100367</c:v>
                </c:pt>
                <c:pt idx="69">
                  <c:v>94739</c:v>
                </c:pt>
                <c:pt idx="70">
                  <c:v>127181</c:v>
                </c:pt>
                <c:pt idx="71">
                  <c:v>112873</c:v>
                </c:pt>
                <c:pt idx="72">
                  <c:v>162167</c:v>
                </c:pt>
                <c:pt idx="73">
                  <c:v>133560</c:v>
                </c:pt>
                <c:pt idx="74">
                  <c:v>132124</c:v>
                </c:pt>
                <c:pt idx="75">
                  <c:v>239173</c:v>
                </c:pt>
                <c:pt idx="76">
                  <c:v>144220</c:v>
                </c:pt>
                <c:pt idx="77">
                  <c:v>163568</c:v>
                </c:pt>
                <c:pt idx="78">
                  <c:v>86597</c:v>
                </c:pt>
                <c:pt idx="79">
                  <c:v>51334</c:v>
                </c:pt>
                <c:pt idx="80">
                  <c:v>245826</c:v>
                </c:pt>
                <c:pt idx="81">
                  <c:v>208714</c:v>
                </c:pt>
                <c:pt idx="82">
                  <c:v>209377</c:v>
                </c:pt>
                <c:pt idx="83">
                  <c:v>89992</c:v>
                </c:pt>
                <c:pt idx="84">
                  <c:v>133217</c:v>
                </c:pt>
                <c:pt idx="85">
                  <c:v>167106</c:v>
                </c:pt>
                <c:pt idx="86">
                  <c:v>108731</c:v>
                </c:pt>
                <c:pt idx="87">
                  <c:v>198234</c:v>
                </c:pt>
                <c:pt idx="88">
                  <c:v>129563</c:v>
                </c:pt>
                <c:pt idx="89">
                  <c:v>92281</c:v>
                </c:pt>
                <c:pt idx="90">
                  <c:v>163824</c:v>
                </c:pt>
                <c:pt idx="91">
                  <c:v>208719</c:v>
                </c:pt>
                <c:pt idx="92">
                  <c:v>102516</c:v>
                </c:pt>
                <c:pt idx="93">
                  <c:v>40814</c:v>
                </c:pt>
                <c:pt idx="94">
                  <c:v>231995</c:v>
                </c:pt>
                <c:pt idx="95">
                  <c:v>113604</c:v>
                </c:pt>
                <c:pt idx="96">
                  <c:v>186896</c:v>
                </c:pt>
                <c:pt idx="97">
                  <c:v>165222</c:v>
                </c:pt>
                <c:pt idx="98">
                  <c:v>103437</c:v>
                </c:pt>
                <c:pt idx="99">
                  <c:v>128150</c:v>
                </c:pt>
                <c:pt idx="100">
                  <c:v>74694</c:v>
                </c:pt>
                <c:pt idx="101">
                  <c:v>135505</c:v>
                </c:pt>
                <c:pt idx="102">
                  <c:v>134386</c:v>
                </c:pt>
                <c:pt idx="103">
                  <c:v>153852</c:v>
                </c:pt>
                <c:pt idx="104">
                  <c:v>118756</c:v>
                </c:pt>
                <c:pt idx="105">
                  <c:v>32319</c:v>
                </c:pt>
                <c:pt idx="106">
                  <c:v>264721</c:v>
                </c:pt>
                <c:pt idx="107">
                  <c:v>67068</c:v>
                </c:pt>
                <c:pt idx="108">
                  <c:v>101372</c:v>
                </c:pt>
                <c:pt idx="109">
                  <c:v>116410</c:v>
                </c:pt>
                <c:pt idx="110">
                  <c:v>172125</c:v>
                </c:pt>
                <c:pt idx="111">
                  <c:v>130467</c:v>
                </c:pt>
                <c:pt idx="112">
                  <c:v>192684</c:v>
                </c:pt>
                <c:pt idx="113">
                  <c:v>65285</c:v>
                </c:pt>
                <c:pt idx="114">
                  <c:v>209106</c:v>
                </c:pt>
                <c:pt idx="115">
                  <c:v>179213</c:v>
                </c:pt>
                <c:pt idx="116">
                  <c:v>250725</c:v>
                </c:pt>
                <c:pt idx="117">
                  <c:v>167164</c:v>
                </c:pt>
                <c:pt idx="118">
                  <c:v>163686</c:v>
                </c:pt>
                <c:pt idx="119">
                  <c:v>190263</c:v>
                </c:pt>
                <c:pt idx="120">
                  <c:v>149621</c:v>
                </c:pt>
                <c:pt idx="121">
                  <c:v>241299</c:v>
                </c:pt>
                <c:pt idx="122">
                  <c:v>207862</c:v>
                </c:pt>
                <c:pt idx="123">
                  <c:v>93323</c:v>
                </c:pt>
                <c:pt idx="124">
                  <c:v>231396</c:v>
                </c:pt>
                <c:pt idx="125">
                  <c:v>130150</c:v>
                </c:pt>
                <c:pt idx="126">
                  <c:v>198427</c:v>
                </c:pt>
                <c:pt idx="127">
                  <c:v>65020</c:v>
                </c:pt>
                <c:pt idx="128">
                  <c:v>238527</c:v>
                </c:pt>
                <c:pt idx="129">
                  <c:v>242726</c:v>
                </c:pt>
                <c:pt idx="130">
                  <c:v>154304</c:v>
                </c:pt>
                <c:pt idx="131">
                  <c:v>175299</c:v>
                </c:pt>
                <c:pt idx="132">
                  <c:v>176934</c:v>
                </c:pt>
                <c:pt idx="133">
                  <c:v>119142</c:v>
                </c:pt>
                <c:pt idx="134">
                  <c:v>153584</c:v>
                </c:pt>
                <c:pt idx="135">
                  <c:v>265261</c:v>
                </c:pt>
                <c:pt idx="136">
                  <c:v>228936</c:v>
                </c:pt>
                <c:pt idx="137">
                  <c:v>76529</c:v>
                </c:pt>
                <c:pt idx="138">
                  <c:v>157597</c:v>
                </c:pt>
                <c:pt idx="139">
                  <c:v>74727</c:v>
                </c:pt>
                <c:pt idx="140">
                  <c:v>145300</c:v>
                </c:pt>
                <c:pt idx="141">
                  <c:v>243567</c:v>
                </c:pt>
                <c:pt idx="142">
                  <c:v>178644</c:v>
                </c:pt>
                <c:pt idx="143">
                  <c:v>191475</c:v>
                </c:pt>
                <c:pt idx="144">
                  <c:v>92854</c:v>
                </c:pt>
                <c:pt idx="145">
                  <c:v>77498</c:v>
                </c:pt>
                <c:pt idx="146">
                  <c:v>108688</c:v>
                </c:pt>
                <c:pt idx="147">
                  <c:v>144415</c:v>
                </c:pt>
                <c:pt idx="148">
                  <c:v>176266</c:v>
                </c:pt>
                <c:pt idx="149">
                  <c:v>200245</c:v>
                </c:pt>
                <c:pt idx="150">
                  <c:v>105223</c:v>
                </c:pt>
                <c:pt idx="151">
                  <c:v>56055</c:v>
                </c:pt>
                <c:pt idx="152">
                  <c:v>104133</c:v>
                </c:pt>
                <c:pt idx="153">
                  <c:v>210617</c:v>
                </c:pt>
                <c:pt idx="154">
                  <c:v>174334</c:v>
                </c:pt>
                <c:pt idx="155">
                  <c:v>165484</c:v>
                </c:pt>
                <c:pt idx="156">
                  <c:v>186454</c:v>
                </c:pt>
                <c:pt idx="157">
                  <c:v>140951</c:v>
                </c:pt>
                <c:pt idx="158">
                  <c:v>220397</c:v>
                </c:pt>
                <c:pt idx="159">
                  <c:v>101503</c:v>
                </c:pt>
                <c:pt idx="160">
                  <c:v>154172</c:v>
                </c:pt>
                <c:pt idx="161">
                  <c:v>187054</c:v>
                </c:pt>
                <c:pt idx="162">
                  <c:v>50591</c:v>
                </c:pt>
                <c:pt idx="163">
                  <c:v>213040</c:v>
                </c:pt>
                <c:pt idx="164">
                  <c:v>173890</c:v>
                </c:pt>
                <c:pt idx="165">
                  <c:v>210359</c:v>
                </c:pt>
                <c:pt idx="166">
                  <c:v>164414</c:v>
                </c:pt>
                <c:pt idx="167">
                  <c:v>122586</c:v>
                </c:pt>
                <c:pt idx="168">
                  <c:v>157253</c:v>
                </c:pt>
                <c:pt idx="169">
                  <c:v>228963</c:v>
                </c:pt>
                <c:pt idx="170">
                  <c:v>116043</c:v>
                </c:pt>
                <c:pt idx="171">
                  <c:v>256562</c:v>
                </c:pt>
                <c:pt idx="172">
                  <c:v>183782</c:v>
                </c:pt>
                <c:pt idx="173">
                  <c:v>154089</c:v>
                </c:pt>
                <c:pt idx="174">
                  <c:v>102190</c:v>
                </c:pt>
                <c:pt idx="175">
                  <c:v>218868</c:v>
                </c:pt>
                <c:pt idx="176">
                  <c:v>212659</c:v>
                </c:pt>
                <c:pt idx="177">
                  <c:v>101572</c:v>
                </c:pt>
                <c:pt idx="178">
                  <c:v>109004</c:v>
                </c:pt>
                <c:pt idx="179">
                  <c:v>59765</c:v>
                </c:pt>
                <c:pt idx="180">
                  <c:v>162810</c:v>
                </c:pt>
                <c:pt idx="181">
                  <c:v>213759</c:v>
                </c:pt>
                <c:pt idx="182">
                  <c:v>138272</c:v>
                </c:pt>
                <c:pt idx="183">
                  <c:v>25424</c:v>
                </c:pt>
                <c:pt idx="184">
                  <c:v>215984</c:v>
                </c:pt>
                <c:pt idx="185">
                  <c:v>109210</c:v>
                </c:pt>
                <c:pt idx="186">
                  <c:v>196903</c:v>
                </c:pt>
                <c:pt idx="187">
                  <c:v>65244</c:v>
                </c:pt>
                <c:pt idx="188">
                  <c:v>152961</c:v>
                </c:pt>
                <c:pt idx="189">
                  <c:v>231767</c:v>
                </c:pt>
                <c:pt idx="190">
                  <c:v>72713</c:v>
                </c:pt>
                <c:pt idx="191">
                  <c:v>93820</c:v>
                </c:pt>
                <c:pt idx="192">
                  <c:v>113231</c:v>
                </c:pt>
                <c:pt idx="193">
                  <c:v>219929</c:v>
                </c:pt>
                <c:pt idx="194">
                  <c:v>157462</c:v>
                </c:pt>
                <c:pt idx="195">
                  <c:v>133066</c:v>
                </c:pt>
                <c:pt idx="196">
                  <c:v>71247</c:v>
                </c:pt>
                <c:pt idx="197">
                  <c:v>205131</c:v>
                </c:pt>
                <c:pt idx="198">
                  <c:v>156560</c:v>
                </c:pt>
                <c:pt idx="199">
                  <c:v>177108</c:v>
                </c:pt>
                <c:pt idx="200">
                  <c:v>95485</c:v>
                </c:pt>
                <c:pt idx="201">
                  <c:v>56084</c:v>
                </c:pt>
                <c:pt idx="202">
                  <c:v>116116</c:v>
                </c:pt>
                <c:pt idx="203">
                  <c:v>247832</c:v>
                </c:pt>
                <c:pt idx="204">
                  <c:v>256691</c:v>
                </c:pt>
                <c:pt idx="205">
                  <c:v>144028</c:v>
                </c:pt>
                <c:pt idx="206">
                  <c:v>183854</c:v>
                </c:pt>
                <c:pt idx="207">
                  <c:v>180752</c:v>
                </c:pt>
                <c:pt idx="208">
                  <c:v>133508</c:v>
                </c:pt>
                <c:pt idx="209">
                  <c:v>132592</c:v>
                </c:pt>
                <c:pt idx="210">
                  <c:v>103578</c:v>
                </c:pt>
                <c:pt idx="211">
                  <c:v>28730</c:v>
                </c:pt>
                <c:pt idx="212">
                  <c:v>144542</c:v>
                </c:pt>
                <c:pt idx="213">
                  <c:v>218654</c:v>
                </c:pt>
                <c:pt idx="214">
                  <c:v>36885</c:v>
                </c:pt>
                <c:pt idx="215">
                  <c:v>143131</c:v>
                </c:pt>
                <c:pt idx="216">
                  <c:v>155265</c:v>
                </c:pt>
                <c:pt idx="217">
                  <c:v>258293</c:v>
                </c:pt>
                <c:pt idx="218">
                  <c:v>141861</c:v>
                </c:pt>
                <c:pt idx="219">
                  <c:v>73525</c:v>
                </c:pt>
                <c:pt idx="220">
                  <c:v>77681</c:v>
                </c:pt>
                <c:pt idx="221">
                  <c:v>171193</c:v>
                </c:pt>
                <c:pt idx="222">
                  <c:v>71246</c:v>
                </c:pt>
                <c:pt idx="223">
                  <c:v>206340</c:v>
                </c:pt>
                <c:pt idx="224">
                  <c:v>153956</c:v>
                </c:pt>
                <c:pt idx="225">
                  <c:v>205493</c:v>
                </c:pt>
                <c:pt idx="226">
                  <c:v>124842</c:v>
                </c:pt>
                <c:pt idx="227">
                  <c:v>233908</c:v>
                </c:pt>
                <c:pt idx="228">
                  <c:v>165897</c:v>
                </c:pt>
                <c:pt idx="229">
                  <c:v>146672</c:v>
                </c:pt>
                <c:pt idx="230">
                  <c:v>73138</c:v>
                </c:pt>
                <c:pt idx="231">
                  <c:v>172106</c:v>
                </c:pt>
                <c:pt idx="232">
                  <c:v>173691</c:v>
                </c:pt>
                <c:pt idx="233">
                  <c:v>211225</c:v>
                </c:pt>
                <c:pt idx="234">
                  <c:v>107925</c:v>
                </c:pt>
                <c:pt idx="235">
                  <c:v>200302</c:v>
                </c:pt>
                <c:pt idx="236">
                  <c:v>182407</c:v>
                </c:pt>
                <c:pt idx="237">
                  <c:v>103729</c:v>
                </c:pt>
                <c:pt idx="238">
                  <c:v>123660</c:v>
                </c:pt>
                <c:pt idx="239">
                  <c:v>123949</c:v>
                </c:pt>
                <c:pt idx="240">
                  <c:v>201366</c:v>
                </c:pt>
                <c:pt idx="241">
                  <c:v>208115</c:v>
                </c:pt>
                <c:pt idx="242">
                  <c:v>82166</c:v>
                </c:pt>
                <c:pt idx="243">
                  <c:v>157744</c:v>
                </c:pt>
                <c:pt idx="244">
                  <c:v>145779</c:v>
                </c:pt>
                <c:pt idx="245">
                  <c:v>138110</c:v>
                </c:pt>
                <c:pt idx="246">
                  <c:v>52868</c:v>
                </c:pt>
                <c:pt idx="247">
                  <c:v>197121</c:v>
                </c:pt>
                <c:pt idx="248">
                  <c:v>132386</c:v>
                </c:pt>
                <c:pt idx="249">
                  <c:v>168077</c:v>
                </c:pt>
                <c:pt idx="250">
                  <c:v>76735</c:v>
                </c:pt>
                <c:pt idx="251">
                  <c:v>170659</c:v>
                </c:pt>
                <c:pt idx="252">
                  <c:v>203009</c:v>
                </c:pt>
                <c:pt idx="253">
                  <c:v>150893</c:v>
                </c:pt>
                <c:pt idx="254">
                  <c:v>123363</c:v>
                </c:pt>
                <c:pt idx="255">
                  <c:v>155907</c:v>
                </c:pt>
                <c:pt idx="256">
                  <c:v>193582</c:v>
                </c:pt>
                <c:pt idx="257">
                  <c:v>171922</c:v>
                </c:pt>
                <c:pt idx="258">
                  <c:v>259925</c:v>
                </c:pt>
                <c:pt idx="259">
                  <c:v>128486</c:v>
                </c:pt>
                <c:pt idx="260">
                  <c:v>194834</c:v>
                </c:pt>
                <c:pt idx="261">
                  <c:v>76483</c:v>
                </c:pt>
                <c:pt idx="262">
                  <c:v>163133</c:v>
                </c:pt>
                <c:pt idx="263">
                  <c:v>116137</c:v>
                </c:pt>
                <c:pt idx="264">
                  <c:v>152026</c:v>
                </c:pt>
                <c:pt idx="265">
                  <c:v>152374</c:v>
                </c:pt>
                <c:pt idx="266">
                  <c:v>88667</c:v>
                </c:pt>
                <c:pt idx="267">
                  <c:v>103538</c:v>
                </c:pt>
                <c:pt idx="268">
                  <c:v>147679</c:v>
                </c:pt>
                <c:pt idx="269">
                  <c:v>156902</c:v>
                </c:pt>
                <c:pt idx="270">
                  <c:v>27793</c:v>
                </c:pt>
                <c:pt idx="271">
                  <c:v>129593</c:v>
                </c:pt>
                <c:pt idx="272">
                  <c:v>104962</c:v>
                </c:pt>
                <c:pt idx="273">
                  <c:v>163941</c:v>
                </c:pt>
                <c:pt idx="274">
                  <c:v>150516</c:v>
                </c:pt>
                <c:pt idx="275">
                  <c:v>191465</c:v>
                </c:pt>
                <c:pt idx="276">
                  <c:v>150939</c:v>
                </c:pt>
                <c:pt idx="277">
                  <c:v>120400</c:v>
                </c:pt>
                <c:pt idx="278">
                  <c:v>215011</c:v>
                </c:pt>
                <c:pt idx="279">
                  <c:v>106444</c:v>
                </c:pt>
                <c:pt idx="280">
                  <c:v>137814</c:v>
                </c:pt>
                <c:pt idx="281">
                  <c:v>202430</c:v>
                </c:pt>
                <c:pt idx="282">
                  <c:v>149542</c:v>
                </c:pt>
                <c:pt idx="283">
                  <c:v>84857</c:v>
                </c:pt>
                <c:pt idx="284">
                  <c:v>54052</c:v>
                </c:pt>
                <c:pt idx="285">
                  <c:v>114735</c:v>
                </c:pt>
                <c:pt idx="286">
                  <c:v>173190</c:v>
                </c:pt>
                <c:pt idx="287">
                  <c:v>137174</c:v>
                </c:pt>
                <c:pt idx="288">
                  <c:v>163657</c:v>
                </c:pt>
                <c:pt idx="289">
                  <c:v>148021</c:v>
                </c:pt>
                <c:pt idx="290">
                  <c:v>201725</c:v>
                </c:pt>
                <c:pt idx="291">
                  <c:v>27208</c:v>
                </c:pt>
                <c:pt idx="292">
                  <c:v>145691</c:v>
                </c:pt>
                <c:pt idx="293">
                  <c:v>194135</c:v>
                </c:pt>
                <c:pt idx="294">
                  <c:v>231014</c:v>
                </c:pt>
                <c:pt idx="295">
                  <c:v>15353</c:v>
                </c:pt>
                <c:pt idx="296">
                  <c:v>179578</c:v>
                </c:pt>
                <c:pt idx="297">
                  <c:v>107015</c:v>
                </c:pt>
                <c:pt idx="298">
                  <c:v>134769</c:v>
                </c:pt>
                <c:pt idx="299">
                  <c:v>164874</c:v>
                </c:pt>
                <c:pt idx="300">
                  <c:v>154515</c:v>
                </c:pt>
                <c:pt idx="301">
                  <c:v>197297</c:v>
                </c:pt>
                <c:pt idx="302">
                  <c:v>127335</c:v>
                </c:pt>
                <c:pt idx="303">
                  <c:v>104537</c:v>
                </c:pt>
                <c:pt idx="304">
                  <c:v>92249</c:v>
                </c:pt>
                <c:pt idx="305">
                  <c:v>253147</c:v>
                </c:pt>
                <c:pt idx="306">
                  <c:v>158050</c:v>
                </c:pt>
                <c:pt idx="307">
                  <c:v>154042</c:v>
                </c:pt>
                <c:pt idx="308">
                  <c:v>192677</c:v>
                </c:pt>
                <c:pt idx="309">
                  <c:v>85473</c:v>
                </c:pt>
                <c:pt idx="310">
                  <c:v>134619</c:v>
                </c:pt>
                <c:pt idx="311">
                  <c:v>203321</c:v>
                </c:pt>
                <c:pt idx="312">
                  <c:v>188229</c:v>
                </c:pt>
                <c:pt idx="313">
                  <c:v>129070</c:v>
                </c:pt>
                <c:pt idx="314">
                  <c:v>67393</c:v>
                </c:pt>
                <c:pt idx="315">
                  <c:v>233004</c:v>
                </c:pt>
                <c:pt idx="316">
                  <c:v>143001</c:v>
                </c:pt>
                <c:pt idx="317">
                  <c:v>85349</c:v>
                </c:pt>
                <c:pt idx="318">
                  <c:v>154919</c:v>
                </c:pt>
                <c:pt idx="319">
                  <c:v>149658</c:v>
                </c:pt>
                <c:pt idx="320">
                  <c:v>158743</c:v>
                </c:pt>
                <c:pt idx="321">
                  <c:v>137157</c:v>
                </c:pt>
                <c:pt idx="322">
                  <c:v>98919</c:v>
                </c:pt>
                <c:pt idx="323">
                  <c:v>95094</c:v>
                </c:pt>
                <c:pt idx="324">
                  <c:v>113625</c:v>
                </c:pt>
                <c:pt idx="325">
                  <c:v>179305</c:v>
                </c:pt>
                <c:pt idx="326">
                  <c:v>228105</c:v>
                </c:pt>
                <c:pt idx="327">
                  <c:v>182783</c:v>
                </c:pt>
                <c:pt idx="328">
                  <c:v>214462</c:v>
                </c:pt>
                <c:pt idx="329">
                  <c:v>197008</c:v>
                </c:pt>
                <c:pt idx="330">
                  <c:v>116472</c:v>
                </c:pt>
                <c:pt idx="331">
                  <c:v>114496</c:v>
                </c:pt>
                <c:pt idx="332">
                  <c:v>100040</c:v>
                </c:pt>
                <c:pt idx="333">
                  <c:v>226046</c:v>
                </c:pt>
                <c:pt idx="334">
                  <c:v>155711</c:v>
                </c:pt>
                <c:pt idx="335">
                  <c:v>148453</c:v>
                </c:pt>
                <c:pt idx="336">
                  <c:v>205707</c:v>
                </c:pt>
                <c:pt idx="337">
                  <c:v>196428</c:v>
                </c:pt>
                <c:pt idx="338">
                  <c:v>108632</c:v>
                </c:pt>
                <c:pt idx="339">
                  <c:v>77849</c:v>
                </c:pt>
                <c:pt idx="340">
                  <c:v>243949</c:v>
                </c:pt>
                <c:pt idx="341">
                  <c:v>147849</c:v>
                </c:pt>
                <c:pt idx="342">
                  <c:v>90106</c:v>
                </c:pt>
                <c:pt idx="343">
                  <c:v>172904</c:v>
                </c:pt>
                <c:pt idx="344">
                  <c:v>192858</c:v>
                </c:pt>
                <c:pt idx="345">
                  <c:v>121744</c:v>
                </c:pt>
                <c:pt idx="346">
                  <c:v>151334</c:v>
                </c:pt>
                <c:pt idx="347">
                  <c:v>191218</c:v>
                </c:pt>
                <c:pt idx="348">
                  <c:v>174553</c:v>
                </c:pt>
                <c:pt idx="349">
                  <c:v>181516</c:v>
                </c:pt>
                <c:pt idx="350">
                  <c:v>123894</c:v>
                </c:pt>
                <c:pt idx="351">
                  <c:v>130506</c:v>
                </c:pt>
                <c:pt idx="352">
                  <c:v>39752</c:v>
                </c:pt>
                <c:pt idx="353">
                  <c:v>158854</c:v>
                </c:pt>
                <c:pt idx="354">
                  <c:v>147065</c:v>
                </c:pt>
                <c:pt idx="355">
                  <c:v>123445</c:v>
                </c:pt>
                <c:pt idx="356">
                  <c:v>101099</c:v>
                </c:pt>
                <c:pt idx="357">
                  <c:v>146438</c:v>
                </c:pt>
                <c:pt idx="358">
                  <c:v>105323</c:v>
                </c:pt>
                <c:pt idx="359">
                  <c:v>137249</c:v>
                </c:pt>
                <c:pt idx="360">
                  <c:v>162413</c:v>
                </c:pt>
                <c:pt idx="361">
                  <c:v>243747</c:v>
                </c:pt>
                <c:pt idx="362">
                  <c:v>106589</c:v>
                </c:pt>
                <c:pt idx="363">
                  <c:v>100073</c:v>
                </c:pt>
                <c:pt idx="364">
                  <c:v>217987</c:v>
                </c:pt>
                <c:pt idx="365">
                  <c:v>190621</c:v>
                </c:pt>
                <c:pt idx="366">
                  <c:v>155516</c:v>
                </c:pt>
                <c:pt idx="367">
                  <c:v>176738</c:v>
                </c:pt>
                <c:pt idx="368">
                  <c:v>111880</c:v>
                </c:pt>
                <c:pt idx="369">
                  <c:v>216110</c:v>
                </c:pt>
                <c:pt idx="370">
                  <c:v>88259</c:v>
                </c:pt>
                <c:pt idx="371">
                  <c:v>139142</c:v>
                </c:pt>
                <c:pt idx="372">
                  <c:v>87432</c:v>
                </c:pt>
                <c:pt idx="373">
                  <c:v>94379</c:v>
                </c:pt>
                <c:pt idx="374">
                  <c:v>139983</c:v>
                </c:pt>
                <c:pt idx="375">
                  <c:v>166768</c:v>
                </c:pt>
                <c:pt idx="376">
                  <c:v>78429</c:v>
                </c:pt>
                <c:pt idx="377">
                  <c:v>149304</c:v>
                </c:pt>
                <c:pt idx="378">
                  <c:v>198861</c:v>
                </c:pt>
                <c:pt idx="379">
                  <c:v>88295</c:v>
                </c:pt>
                <c:pt idx="380">
                  <c:v>96162</c:v>
                </c:pt>
                <c:pt idx="381">
                  <c:v>65650</c:v>
                </c:pt>
                <c:pt idx="382">
                  <c:v>181781</c:v>
                </c:pt>
                <c:pt idx="383">
                  <c:v>212985</c:v>
                </c:pt>
                <c:pt idx="384">
                  <c:v>120159</c:v>
                </c:pt>
                <c:pt idx="385">
                  <c:v>121208</c:v>
                </c:pt>
                <c:pt idx="386">
                  <c:v>153496</c:v>
                </c:pt>
                <c:pt idx="387">
                  <c:v>181346</c:v>
                </c:pt>
                <c:pt idx="388">
                  <c:v>121102</c:v>
                </c:pt>
                <c:pt idx="389">
                  <c:v>28717</c:v>
                </c:pt>
                <c:pt idx="390">
                  <c:v>244750</c:v>
                </c:pt>
                <c:pt idx="391">
                  <c:v>155233</c:v>
                </c:pt>
                <c:pt idx="392">
                  <c:v>242622</c:v>
                </c:pt>
                <c:pt idx="393">
                  <c:v>103464</c:v>
                </c:pt>
                <c:pt idx="394">
                  <c:v>179250</c:v>
                </c:pt>
                <c:pt idx="395">
                  <c:v>246262</c:v>
                </c:pt>
                <c:pt idx="396">
                  <c:v>159631</c:v>
                </c:pt>
                <c:pt idx="397">
                  <c:v>225552</c:v>
                </c:pt>
                <c:pt idx="398">
                  <c:v>117742</c:v>
                </c:pt>
                <c:pt idx="399">
                  <c:v>139759</c:v>
                </c:pt>
                <c:pt idx="400">
                  <c:v>210471</c:v>
                </c:pt>
                <c:pt idx="401">
                  <c:v>137273</c:v>
                </c:pt>
                <c:pt idx="402">
                  <c:v>191905</c:v>
                </c:pt>
                <c:pt idx="403">
                  <c:v>130651</c:v>
                </c:pt>
                <c:pt idx="404">
                  <c:v>58886</c:v>
                </c:pt>
                <c:pt idx="405">
                  <c:v>58960</c:v>
                </c:pt>
                <c:pt idx="406">
                  <c:v>44986</c:v>
                </c:pt>
                <c:pt idx="407">
                  <c:v>159005</c:v>
                </c:pt>
                <c:pt idx="408">
                  <c:v>103451</c:v>
                </c:pt>
                <c:pt idx="409">
                  <c:v>193727</c:v>
                </c:pt>
                <c:pt idx="410">
                  <c:v>83075</c:v>
                </c:pt>
                <c:pt idx="411">
                  <c:v>161405</c:v>
                </c:pt>
                <c:pt idx="412">
                  <c:v>156686</c:v>
                </c:pt>
                <c:pt idx="413">
                  <c:v>16076</c:v>
                </c:pt>
                <c:pt idx="414">
                  <c:v>187448</c:v>
                </c:pt>
                <c:pt idx="415">
                  <c:v>152486</c:v>
                </c:pt>
                <c:pt idx="416">
                  <c:v>196838</c:v>
                </c:pt>
                <c:pt idx="417">
                  <c:v>184886</c:v>
                </c:pt>
                <c:pt idx="418">
                  <c:v>191841</c:v>
                </c:pt>
                <c:pt idx="419">
                  <c:v>240238</c:v>
                </c:pt>
                <c:pt idx="420">
                  <c:v>233039</c:v>
                </c:pt>
                <c:pt idx="421">
                  <c:v>88898</c:v>
                </c:pt>
                <c:pt idx="422">
                  <c:v>143142</c:v>
                </c:pt>
                <c:pt idx="423">
                  <c:v>79844</c:v>
                </c:pt>
                <c:pt idx="424">
                  <c:v>100366</c:v>
                </c:pt>
                <c:pt idx="425">
                  <c:v>203444</c:v>
                </c:pt>
                <c:pt idx="426">
                  <c:v>133215</c:v>
                </c:pt>
                <c:pt idx="427">
                  <c:v>235692</c:v>
                </c:pt>
                <c:pt idx="428">
                  <c:v>240053</c:v>
                </c:pt>
                <c:pt idx="429">
                  <c:v>55726</c:v>
                </c:pt>
                <c:pt idx="430">
                  <c:v>189806</c:v>
                </c:pt>
                <c:pt idx="431">
                  <c:v>129081</c:v>
                </c:pt>
                <c:pt idx="432">
                  <c:v>119336</c:v>
                </c:pt>
                <c:pt idx="433">
                  <c:v>253246</c:v>
                </c:pt>
                <c:pt idx="434">
                  <c:v>134073</c:v>
                </c:pt>
                <c:pt idx="435">
                  <c:v>166815</c:v>
                </c:pt>
                <c:pt idx="436">
                  <c:v>262804</c:v>
                </c:pt>
                <c:pt idx="437">
                  <c:v>128556</c:v>
                </c:pt>
                <c:pt idx="438">
                  <c:v>127921</c:v>
                </c:pt>
                <c:pt idx="439">
                  <c:v>186324</c:v>
                </c:pt>
                <c:pt idx="440">
                  <c:v>223767</c:v>
                </c:pt>
                <c:pt idx="441">
                  <c:v>85093</c:v>
                </c:pt>
                <c:pt idx="442">
                  <c:v>85205</c:v>
                </c:pt>
                <c:pt idx="443">
                  <c:v>186117</c:v>
                </c:pt>
                <c:pt idx="444">
                  <c:v>181306</c:v>
                </c:pt>
                <c:pt idx="445">
                  <c:v>166926</c:v>
                </c:pt>
                <c:pt idx="446">
                  <c:v>243038</c:v>
                </c:pt>
                <c:pt idx="447">
                  <c:v>203988</c:v>
                </c:pt>
                <c:pt idx="448">
                  <c:v>146179</c:v>
                </c:pt>
                <c:pt idx="449">
                  <c:v>139176</c:v>
                </c:pt>
                <c:pt idx="450">
                  <c:v>199571</c:v>
                </c:pt>
                <c:pt idx="451">
                  <c:v>135030</c:v>
                </c:pt>
                <c:pt idx="452">
                  <c:v>80887</c:v>
                </c:pt>
                <c:pt idx="453">
                  <c:v>98015</c:v>
                </c:pt>
                <c:pt idx="454">
                  <c:v>98597</c:v>
                </c:pt>
                <c:pt idx="455">
                  <c:v>114186</c:v>
                </c:pt>
                <c:pt idx="456">
                  <c:v>152502</c:v>
                </c:pt>
                <c:pt idx="457">
                  <c:v>213676</c:v>
                </c:pt>
                <c:pt idx="458">
                  <c:v>105042</c:v>
                </c:pt>
                <c:pt idx="459">
                  <c:v>135343</c:v>
                </c:pt>
                <c:pt idx="460">
                  <c:v>128055</c:v>
                </c:pt>
                <c:pt idx="461">
                  <c:v>62306</c:v>
                </c:pt>
                <c:pt idx="462">
                  <c:v>219017</c:v>
                </c:pt>
                <c:pt idx="463">
                  <c:v>170662</c:v>
                </c:pt>
                <c:pt idx="464">
                  <c:v>125615</c:v>
                </c:pt>
                <c:pt idx="465">
                  <c:v>179580</c:v>
                </c:pt>
                <c:pt idx="466">
                  <c:v>121693</c:v>
                </c:pt>
                <c:pt idx="467">
                  <c:v>119375</c:v>
                </c:pt>
                <c:pt idx="468">
                  <c:v>236580</c:v>
                </c:pt>
                <c:pt idx="469">
                  <c:v>241375</c:v>
                </c:pt>
                <c:pt idx="470">
                  <c:v>169972</c:v>
                </c:pt>
                <c:pt idx="471">
                  <c:v>97357</c:v>
                </c:pt>
                <c:pt idx="472">
                  <c:v>34714</c:v>
                </c:pt>
                <c:pt idx="473">
                  <c:v>188620</c:v>
                </c:pt>
                <c:pt idx="474">
                  <c:v>213971</c:v>
                </c:pt>
                <c:pt idx="475">
                  <c:v>217695</c:v>
                </c:pt>
                <c:pt idx="476">
                  <c:v>229546</c:v>
                </c:pt>
                <c:pt idx="477">
                  <c:v>173217</c:v>
                </c:pt>
                <c:pt idx="478">
                  <c:v>174006</c:v>
                </c:pt>
                <c:pt idx="479">
                  <c:v>146176</c:v>
                </c:pt>
                <c:pt idx="480">
                  <c:v>178701</c:v>
                </c:pt>
                <c:pt idx="481">
                  <c:v>168145</c:v>
                </c:pt>
                <c:pt idx="482">
                  <c:v>144013</c:v>
                </c:pt>
                <c:pt idx="483">
                  <c:v>92484</c:v>
                </c:pt>
                <c:pt idx="484">
                  <c:v>255351</c:v>
                </c:pt>
                <c:pt idx="485">
                  <c:v>187467</c:v>
                </c:pt>
                <c:pt idx="486">
                  <c:v>169836</c:v>
                </c:pt>
                <c:pt idx="487">
                  <c:v>192339</c:v>
                </c:pt>
                <c:pt idx="488">
                  <c:v>69579</c:v>
                </c:pt>
                <c:pt idx="489">
                  <c:v>147556</c:v>
                </c:pt>
                <c:pt idx="490">
                  <c:v>59865</c:v>
                </c:pt>
                <c:pt idx="491">
                  <c:v>124109</c:v>
                </c:pt>
                <c:pt idx="492">
                  <c:v>190257</c:v>
                </c:pt>
                <c:pt idx="493">
                  <c:v>91593</c:v>
                </c:pt>
                <c:pt idx="494">
                  <c:v>92752</c:v>
                </c:pt>
                <c:pt idx="495">
                  <c:v>84555</c:v>
                </c:pt>
                <c:pt idx="496">
                  <c:v>68680</c:v>
                </c:pt>
                <c:pt idx="497">
                  <c:v>269669</c:v>
                </c:pt>
                <c:pt idx="498">
                  <c:v>255520</c:v>
                </c:pt>
                <c:pt idx="499">
                  <c:v>162287</c:v>
                </c:pt>
              </c:numCache>
            </c:numRef>
          </c:xVal>
          <c:yVal>
            <c:numRef>
              <c:f>Powerquery!$D$2:$D$501</c:f>
              <c:numCache>
                <c:formatCode>General</c:formatCode>
                <c:ptCount val="500"/>
                <c:pt idx="0">
                  <c:v>75203</c:v>
                </c:pt>
                <c:pt idx="1">
                  <c:v>157836</c:v>
                </c:pt>
                <c:pt idx="2">
                  <c:v>-15936</c:v>
                </c:pt>
                <c:pt idx="3">
                  <c:v>147886</c:v>
                </c:pt>
                <c:pt idx="4">
                  <c:v>85501</c:v>
                </c:pt>
                <c:pt idx="5">
                  <c:v>-50414</c:v>
                </c:pt>
                <c:pt idx="6">
                  <c:v>121061</c:v>
                </c:pt>
                <c:pt idx="7">
                  <c:v>-3864</c:v>
                </c:pt>
                <c:pt idx="8">
                  <c:v>20596</c:v>
                </c:pt>
                <c:pt idx="9">
                  <c:v>35214</c:v>
                </c:pt>
                <c:pt idx="10">
                  <c:v>136585</c:v>
                </c:pt>
                <c:pt idx="11">
                  <c:v>49844</c:v>
                </c:pt>
                <c:pt idx="12">
                  <c:v>-28866</c:v>
                </c:pt>
                <c:pt idx="13">
                  <c:v>111507</c:v>
                </c:pt>
                <c:pt idx="14">
                  <c:v>96711</c:v>
                </c:pt>
                <c:pt idx="15">
                  <c:v>202185</c:v>
                </c:pt>
                <c:pt idx="16">
                  <c:v>246411</c:v>
                </c:pt>
                <c:pt idx="17">
                  <c:v>110545</c:v>
                </c:pt>
                <c:pt idx="18">
                  <c:v>64865</c:v>
                </c:pt>
                <c:pt idx="19">
                  <c:v>-44456</c:v>
                </c:pt>
                <c:pt idx="20">
                  <c:v>33112</c:v>
                </c:pt>
                <c:pt idx="21">
                  <c:v>34192</c:v>
                </c:pt>
                <c:pt idx="22">
                  <c:v>66636</c:v>
                </c:pt>
                <c:pt idx="23">
                  <c:v>63885</c:v>
                </c:pt>
                <c:pt idx="24">
                  <c:v>98225</c:v>
                </c:pt>
                <c:pt idx="25">
                  <c:v>122343</c:v>
                </c:pt>
                <c:pt idx="26">
                  <c:v>93271</c:v>
                </c:pt>
                <c:pt idx="27">
                  <c:v>139403</c:v>
                </c:pt>
                <c:pt idx="28">
                  <c:v>157299</c:v>
                </c:pt>
                <c:pt idx="29">
                  <c:v>-42542</c:v>
                </c:pt>
                <c:pt idx="30">
                  <c:v>3984</c:v>
                </c:pt>
                <c:pt idx="31">
                  <c:v>170280</c:v>
                </c:pt>
                <c:pt idx="32">
                  <c:v>71512</c:v>
                </c:pt>
                <c:pt idx="33">
                  <c:v>211463</c:v>
                </c:pt>
                <c:pt idx="34">
                  <c:v>24817</c:v>
                </c:pt>
                <c:pt idx="35">
                  <c:v>70935</c:v>
                </c:pt>
                <c:pt idx="36">
                  <c:v>108282</c:v>
                </c:pt>
                <c:pt idx="37">
                  <c:v>124848</c:v>
                </c:pt>
                <c:pt idx="38">
                  <c:v>74515</c:v>
                </c:pt>
                <c:pt idx="39">
                  <c:v>147564</c:v>
                </c:pt>
                <c:pt idx="40">
                  <c:v>100480</c:v>
                </c:pt>
                <c:pt idx="41">
                  <c:v>64778</c:v>
                </c:pt>
                <c:pt idx="42">
                  <c:v>60228</c:v>
                </c:pt>
                <c:pt idx="43">
                  <c:v>66560</c:v>
                </c:pt>
                <c:pt idx="44">
                  <c:v>89671</c:v>
                </c:pt>
                <c:pt idx="45">
                  <c:v>107683</c:v>
                </c:pt>
                <c:pt idx="46">
                  <c:v>46709</c:v>
                </c:pt>
                <c:pt idx="47">
                  <c:v>70640</c:v>
                </c:pt>
                <c:pt idx="48">
                  <c:v>49281</c:v>
                </c:pt>
                <c:pt idx="49">
                  <c:v>82373</c:v>
                </c:pt>
                <c:pt idx="50">
                  <c:v>2345</c:v>
                </c:pt>
                <c:pt idx="51">
                  <c:v>40571</c:v>
                </c:pt>
                <c:pt idx="52">
                  <c:v>116367</c:v>
                </c:pt>
                <c:pt idx="53">
                  <c:v>112839</c:v>
                </c:pt>
                <c:pt idx="54">
                  <c:v>86291</c:v>
                </c:pt>
                <c:pt idx="55">
                  <c:v>111270</c:v>
                </c:pt>
                <c:pt idx="56">
                  <c:v>190256</c:v>
                </c:pt>
                <c:pt idx="57">
                  <c:v>188550</c:v>
                </c:pt>
                <c:pt idx="58">
                  <c:v>72726</c:v>
                </c:pt>
                <c:pt idx="59">
                  <c:v>105242</c:v>
                </c:pt>
                <c:pt idx="60">
                  <c:v>32174</c:v>
                </c:pt>
                <c:pt idx="61">
                  <c:v>85678</c:v>
                </c:pt>
                <c:pt idx="62">
                  <c:v>-25595</c:v>
                </c:pt>
                <c:pt idx="63">
                  <c:v>89188</c:v>
                </c:pt>
                <c:pt idx="64">
                  <c:v>123433</c:v>
                </c:pt>
                <c:pt idx="65">
                  <c:v>164964</c:v>
                </c:pt>
                <c:pt idx="66">
                  <c:v>106658</c:v>
                </c:pt>
                <c:pt idx="67">
                  <c:v>187309</c:v>
                </c:pt>
                <c:pt idx="68">
                  <c:v>2622</c:v>
                </c:pt>
                <c:pt idx="69">
                  <c:v>35314</c:v>
                </c:pt>
                <c:pt idx="70">
                  <c:v>41541</c:v>
                </c:pt>
                <c:pt idx="71">
                  <c:v>77723</c:v>
                </c:pt>
                <c:pt idx="72">
                  <c:v>132770</c:v>
                </c:pt>
                <c:pt idx="73">
                  <c:v>39101</c:v>
                </c:pt>
                <c:pt idx="74">
                  <c:v>84817</c:v>
                </c:pt>
                <c:pt idx="75">
                  <c:v>163607</c:v>
                </c:pt>
                <c:pt idx="76">
                  <c:v>118046</c:v>
                </c:pt>
                <c:pt idx="77">
                  <c:v>100432</c:v>
                </c:pt>
                <c:pt idx="78">
                  <c:v>21254</c:v>
                </c:pt>
                <c:pt idx="79">
                  <c:v>8039</c:v>
                </c:pt>
                <c:pt idx="80">
                  <c:v>210956</c:v>
                </c:pt>
                <c:pt idx="81">
                  <c:v>178229</c:v>
                </c:pt>
                <c:pt idx="82">
                  <c:v>136578</c:v>
                </c:pt>
                <c:pt idx="83">
                  <c:v>-5227</c:v>
                </c:pt>
                <c:pt idx="84">
                  <c:v>50576</c:v>
                </c:pt>
                <c:pt idx="85">
                  <c:v>90464</c:v>
                </c:pt>
                <c:pt idx="86">
                  <c:v>55318</c:v>
                </c:pt>
                <c:pt idx="87">
                  <c:v>161787</c:v>
                </c:pt>
                <c:pt idx="88">
                  <c:v>82642</c:v>
                </c:pt>
                <c:pt idx="89">
                  <c:v>39193</c:v>
                </c:pt>
                <c:pt idx="90">
                  <c:v>103379</c:v>
                </c:pt>
                <c:pt idx="91">
                  <c:v>135578</c:v>
                </c:pt>
                <c:pt idx="92">
                  <c:v>25224</c:v>
                </c:pt>
                <c:pt idx="93">
                  <c:v>7797</c:v>
                </c:pt>
                <c:pt idx="94">
                  <c:v>169069</c:v>
                </c:pt>
                <c:pt idx="95">
                  <c:v>75080</c:v>
                </c:pt>
                <c:pt idx="96">
                  <c:v>137080</c:v>
                </c:pt>
                <c:pt idx="97">
                  <c:v>112478</c:v>
                </c:pt>
                <c:pt idx="98">
                  <c:v>30420</c:v>
                </c:pt>
                <c:pt idx="99">
                  <c:v>88865</c:v>
                </c:pt>
                <c:pt idx="100">
                  <c:v>15456</c:v>
                </c:pt>
                <c:pt idx="101">
                  <c:v>55290</c:v>
                </c:pt>
                <c:pt idx="102">
                  <c:v>96000</c:v>
                </c:pt>
                <c:pt idx="103">
                  <c:v>96534</c:v>
                </c:pt>
                <c:pt idx="104">
                  <c:v>83793</c:v>
                </c:pt>
                <c:pt idx="105">
                  <c:v>5304</c:v>
                </c:pt>
                <c:pt idx="106">
                  <c:v>177947</c:v>
                </c:pt>
                <c:pt idx="107">
                  <c:v>-31739</c:v>
                </c:pt>
                <c:pt idx="108">
                  <c:v>29264</c:v>
                </c:pt>
                <c:pt idx="109">
                  <c:v>82633</c:v>
                </c:pt>
                <c:pt idx="110">
                  <c:v>146637</c:v>
                </c:pt>
                <c:pt idx="111">
                  <c:v>51176</c:v>
                </c:pt>
                <c:pt idx="112">
                  <c:v>177629</c:v>
                </c:pt>
                <c:pt idx="113">
                  <c:v>33537</c:v>
                </c:pt>
                <c:pt idx="114">
                  <c:v>111268</c:v>
                </c:pt>
                <c:pt idx="115">
                  <c:v>117942</c:v>
                </c:pt>
                <c:pt idx="116">
                  <c:v>229496</c:v>
                </c:pt>
                <c:pt idx="117">
                  <c:v>144603</c:v>
                </c:pt>
                <c:pt idx="118">
                  <c:v>122617</c:v>
                </c:pt>
                <c:pt idx="119">
                  <c:v>93814</c:v>
                </c:pt>
                <c:pt idx="120">
                  <c:v>58531</c:v>
                </c:pt>
                <c:pt idx="121">
                  <c:v>224694</c:v>
                </c:pt>
                <c:pt idx="122">
                  <c:v>165416</c:v>
                </c:pt>
                <c:pt idx="123">
                  <c:v>61934</c:v>
                </c:pt>
                <c:pt idx="124">
                  <c:v>215550</c:v>
                </c:pt>
                <c:pt idx="125">
                  <c:v>73049</c:v>
                </c:pt>
                <c:pt idx="126">
                  <c:v>140894</c:v>
                </c:pt>
                <c:pt idx="127">
                  <c:v>-9363</c:v>
                </c:pt>
                <c:pt idx="128">
                  <c:v>218240</c:v>
                </c:pt>
                <c:pt idx="129">
                  <c:v>147959</c:v>
                </c:pt>
                <c:pt idx="130">
                  <c:v>96375</c:v>
                </c:pt>
                <c:pt idx="131">
                  <c:v>116374</c:v>
                </c:pt>
                <c:pt idx="132">
                  <c:v>146410</c:v>
                </c:pt>
                <c:pt idx="133">
                  <c:v>74855</c:v>
                </c:pt>
                <c:pt idx="134">
                  <c:v>119488</c:v>
                </c:pt>
                <c:pt idx="135">
                  <c:v>246243</c:v>
                </c:pt>
                <c:pt idx="136">
                  <c:v>157117</c:v>
                </c:pt>
                <c:pt idx="137">
                  <c:v>10173</c:v>
                </c:pt>
                <c:pt idx="138">
                  <c:v>123568</c:v>
                </c:pt>
                <c:pt idx="139">
                  <c:v>30241</c:v>
                </c:pt>
                <c:pt idx="140">
                  <c:v>115918</c:v>
                </c:pt>
                <c:pt idx="141">
                  <c:v>157252</c:v>
                </c:pt>
                <c:pt idx="142">
                  <c:v>162830</c:v>
                </c:pt>
                <c:pt idx="143">
                  <c:v>119533</c:v>
                </c:pt>
                <c:pt idx="144">
                  <c:v>24826</c:v>
                </c:pt>
                <c:pt idx="145">
                  <c:v>18171</c:v>
                </c:pt>
                <c:pt idx="146">
                  <c:v>92043</c:v>
                </c:pt>
                <c:pt idx="147">
                  <c:v>90133</c:v>
                </c:pt>
                <c:pt idx="148">
                  <c:v>148042</c:v>
                </c:pt>
                <c:pt idx="149">
                  <c:v>127484</c:v>
                </c:pt>
                <c:pt idx="150">
                  <c:v>44458</c:v>
                </c:pt>
                <c:pt idx="151">
                  <c:v>24814</c:v>
                </c:pt>
                <c:pt idx="152">
                  <c:v>39293</c:v>
                </c:pt>
                <c:pt idx="153">
                  <c:v>132794</c:v>
                </c:pt>
                <c:pt idx="154">
                  <c:v>125615</c:v>
                </c:pt>
                <c:pt idx="155">
                  <c:v>86407</c:v>
                </c:pt>
                <c:pt idx="156">
                  <c:v>159969</c:v>
                </c:pt>
                <c:pt idx="157">
                  <c:v>77181</c:v>
                </c:pt>
                <c:pt idx="158">
                  <c:v>178998</c:v>
                </c:pt>
                <c:pt idx="159">
                  <c:v>30130</c:v>
                </c:pt>
                <c:pt idx="160">
                  <c:v>104261</c:v>
                </c:pt>
                <c:pt idx="161">
                  <c:v>105696</c:v>
                </c:pt>
                <c:pt idx="162">
                  <c:v>-24909</c:v>
                </c:pt>
                <c:pt idx="163">
                  <c:v>174804</c:v>
                </c:pt>
                <c:pt idx="164">
                  <c:v>80133</c:v>
                </c:pt>
                <c:pt idx="165">
                  <c:v>149711</c:v>
                </c:pt>
                <c:pt idx="166">
                  <c:v>120885</c:v>
                </c:pt>
                <c:pt idx="167">
                  <c:v>52557</c:v>
                </c:pt>
                <c:pt idx="168">
                  <c:v>80985</c:v>
                </c:pt>
                <c:pt idx="169">
                  <c:v>173154</c:v>
                </c:pt>
                <c:pt idx="170">
                  <c:v>54215</c:v>
                </c:pt>
                <c:pt idx="171">
                  <c:v>212189</c:v>
                </c:pt>
                <c:pt idx="172">
                  <c:v>149532</c:v>
                </c:pt>
                <c:pt idx="173">
                  <c:v>66734</c:v>
                </c:pt>
                <c:pt idx="174">
                  <c:v>12712</c:v>
                </c:pt>
                <c:pt idx="175">
                  <c:v>158448</c:v>
                </c:pt>
                <c:pt idx="176">
                  <c:v>159755</c:v>
                </c:pt>
                <c:pt idx="177">
                  <c:v>62218</c:v>
                </c:pt>
                <c:pt idx="178">
                  <c:v>24378</c:v>
                </c:pt>
                <c:pt idx="179">
                  <c:v>43424</c:v>
                </c:pt>
                <c:pt idx="180">
                  <c:v>146060</c:v>
                </c:pt>
                <c:pt idx="181">
                  <c:v>121305</c:v>
                </c:pt>
                <c:pt idx="182">
                  <c:v>111090</c:v>
                </c:pt>
                <c:pt idx="183">
                  <c:v>-70135</c:v>
                </c:pt>
                <c:pt idx="184">
                  <c:v>149413</c:v>
                </c:pt>
                <c:pt idx="185">
                  <c:v>37078</c:v>
                </c:pt>
                <c:pt idx="186">
                  <c:v>103716</c:v>
                </c:pt>
                <c:pt idx="187">
                  <c:v>42680</c:v>
                </c:pt>
                <c:pt idx="188">
                  <c:v>108531</c:v>
                </c:pt>
                <c:pt idx="189">
                  <c:v>176793</c:v>
                </c:pt>
                <c:pt idx="190">
                  <c:v>24674</c:v>
                </c:pt>
                <c:pt idx="191">
                  <c:v>68004</c:v>
                </c:pt>
                <c:pt idx="192">
                  <c:v>65318</c:v>
                </c:pt>
                <c:pt idx="193">
                  <c:v>159901</c:v>
                </c:pt>
                <c:pt idx="194">
                  <c:v>107826</c:v>
                </c:pt>
                <c:pt idx="195">
                  <c:v>61087</c:v>
                </c:pt>
                <c:pt idx="196">
                  <c:v>-20882</c:v>
                </c:pt>
                <c:pt idx="197">
                  <c:v>175932</c:v>
                </c:pt>
                <c:pt idx="198">
                  <c:v>79077</c:v>
                </c:pt>
                <c:pt idx="199">
                  <c:v>154202</c:v>
                </c:pt>
                <c:pt idx="200">
                  <c:v>-2815</c:v>
                </c:pt>
                <c:pt idx="201">
                  <c:v>15153</c:v>
                </c:pt>
                <c:pt idx="202">
                  <c:v>19995</c:v>
                </c:pt>
                <c:pt idx="203">
                  <c:v>222929</c:v>
                </c:pt>
                <c:pt idx="204">
                  <c:v>222562</c:v>
                </c:pt>
                <c:pt idx="205">
                  <c:v>61353</c:v>
                </c:pt>
                <c:pt idx="206">
                  <c:v>142562</c:v>
                </c:pt>
                <c:pt idx="207">
                  <c:v>143218</c:v>
                </c:pt>
                <c:pt idx="208">
                  <c:v>70870</c:v>
                </c:pt>
                <c:pt idx="209">
                  <c:v>59660</c:v>
                </c:pt>
                <c:pt idx="210">
                  <c:v>56612</c:v>
                </c:pt>
                <c:pt idx="211">
                  <c:v>-57251</c:v>
                </c:pt>
                <c:pt idx="212">
                  <c:v>102882</c:v>
                </c:pt>
                <c:pt idx="213">
                  <c:v>123259</c:v>
                </c:pt>
                <c:pt idx="214">
                  <c:v>-15682</c:v>
                </c:pt>
                <c:pt idx="215">
                  <c:v>70759</c:v>
                </c:pt>
                <c:pt idx="216">
                  <c:v>95696</c:v>
                </c:pt>
                <c:pt idx="217">
                  <c:v>236753</c:v>
                </c:pt>
                <c:pt idx="218">
                  <c:v>75886</c:v>
                </c:pt>
                <c:pt idx="219">
                  <c:v>24769</c:v>
                </c:pt>
                <c:pt idx="220">
                  <c:v>57055</c:v>
                </c:pt>
                <c:pt idx="221">
                  <c:v>71217</c:v>
                </c:pt>
                <c:pt idx="222">
                  <c:v>37607</c:v>
                </c:pt>
                <c:pt idx="223">
                  <c:v>122424</c:v>
                </c:pt>
                <c:pt idx="224">
                  <c:v>77168</c:v>
                </c:pt>
                <c:pt idx="225">
                  <c:v>138395</c:v>
                </c:pt>
                <c:pt idx="226">
                  <c:v>30759</c:v>
                </c:pt>
                <c:pt idx="227">
                  <c:v>164293</c:v>
                </c:pt>
                <c:pt idx="228">
                  <c:v>121888</c:v>
                </c:pt>
                <c:pt idx="229">
                  <c:v>109868</c:v>
                </c:pt>
                <c:pt idx="230">
                  <c:v>-11160</c:v>
                </c:pt>
                <c:pt idx="231">
                  <c:v>82787</c:v>
                </c:pt>
                <c:pt idx="232">
                  <c:v>95208</c:v>
                </c:pt>
                <c:pt idx="233">
                  <c:v>139240</c:v>
                </c:pt>
                <c:pt idx="234">
                  <c:v>83847</c:v>
                </c:pt>
                <c:pt idx="235">
                  <c:v>120421</c:v>
                </c:pt>
                <c:pt idx="236">
                  <c:v>105857</c:v>
                </c:pt>
                <c:pt idx="237">
                  <c:v>60768</c:v>
                </c:pt>
                <c:pt idx="238">
                  <c:v>71783</c:v>
                </c:pt>
                <c:pt idx="239">
                  <c:v>29801</c:v>
                </c:pt>
                <c:pt idx="240">
                  <c:v>102519</c:v>
                </c:pt>
                <c:pt idx="241">
                  <c:v>177033</c:v>
                </c:pt>
                <c:pt idx="242">
                  <c:v>58220</c:v>
                </c:pt>
                <c:pt idx="243">
                  <c:v>83423</c:v>
                </c:pt>
                <c:pt idx="244">
                  <c:v>91716</c:v>
                </c:pt>
                <c:pt idx="245">
                  <c:v>91525</c:v>
                </c:pt>
                <c:pt idx="246">
                  <c:v>8442</c:v>
                </c:pt>
                <c:pt idx="247">
                  <c:v>97243</c:v>
                </c:pt>
                <c:pt idx="248">
                  <c:v>90470</c:v>
                </c:pt>
                <c:pt idx="249">
                  <c:v>83727</c:v>
                </c:pt>
                <c:pt idx="250">
                  <c:v>39808</c:v>
                </c:pt>
                <c:pt idx="251">
                  <c:v>122262</c:v>
                </c:pt>
                <c:pt idx="252">
                  <c:v>181733</c:v>
                </c:pt>
                <c:pt idx="253">
                  <c:v>84007</c:v>
                </c:pt>
                <c:pt idx="254">
                  <c:v>25053</c:v>
                </c:pt>
                <c:pt idx="255">
                  <c:v>74403</c:v>
                </c:pt>
                <c:pt idx="256">
                  <c:v>169382</c:v>
                </c:pt>
                <c:pt idx="257">
                  <c:v>95710</c:v>
                </c:pt>
                <c:pt idx="258">
                  <c:v>235815</c:v>
                </c:pt>
                <c:pt idx="259">
                  <c:v>111517</c:v>
                </c:pt>
                <c:pt idx="260">
                  <c:v>166165</c:v>
                </c:pt>
                <c:pt idx="261">
                  <c:v>6074</c:v>
                </c:pt>
                <c:pt idx="262">
                  <c:v>110925</c:v>
                </c:pt>
                <c:pt idx="263">
                  <c:v>74153</c:v>
                </c:pt>
                <c:pt idx="264">
                  <c:v>76450</c:v>
                </c:pt>
                <c:pt idx="265">
                  <c:v>111451</c:v>
                </c:pt>
                <c:pt idx="266">
                  <c:v>69955</c:v>
                </c:pt>
                <c:pt idx="267">
                  <c:v>60815</c:v>
                </c:pt>
                <c:pt idx="268">
                  <c:v>123752</c:v>
                </c:pt>
                <c:pt idx="269">
                  <c:v>135431</c:v>
                </c:pt>
                <c:pt idx="270">
                  <c:v>8033</c:v>
                </c:pt>
                <c:pt idx="271">
                  <c:v>103030</c:v>
                </c:pt>
                <c:pt idx="272">
                  <c:v>56788</c:v>
                </c:pt>
                <c:pt idx="273">
                  <c:v>140035</c:v>
                </c:pt>
                <c:pt idx="274">
                  <c:v>128365</c:v>
                </c:pt>
                <c:pt idx="275">
                  <c:v>164176</c:v>
                </c:pt>
                <c:pt idx="276">
                  <c:v>106205</c:v>
                </c:pt>
                <c:pt idx="277">
                  <c:v>31228</c:v>
                </c:pt>
                <c:pt idx="278">
                  <c:v>178336</c:v>
                </c:pt>
                <c:pt idx="279">
                  <c:v>57376</c:v>
                </c:pt>
                <c:pt idx="280">
                  <c:v>88730</c:v>
                </c:pt>
                <c:pt idx="281">
                  <c:v>121749</c:v>
                </c:pt>
                <c:pt idx="282">
                  <c:v>116909</c:v>
                </c:pt>
                <c:pt idx="283">
                  <c:v>36102</c:v>
                </c:pt>
                <c:pt idx="284">
                  <c:v>-26056</c:v>
                </c:pt>
                <c:pt idx="285">
                  <c:v>23406</c:v>
                </c:pt>
                <c:pt idx="286">
                  <c:v>126823</c:v>
                </c:pt>
                <c:pt idx="287">
                  <c:v>51587</c:v>
                </c:pt>
                <c:pt idx="288">
                  <c:v>74863</c:v>
                </c:pt>
                <c:pt idx="289">
                  <c:v>74445</c:v>
                </c:pt>
                <c:pt idx="290">
                  <c:v>125762</c:v>
                </c:pt>
                <c:pt idx="291">
                  <c:v>-16774</c:v>
                </c:pt>
                <c:pt idx="292">
                  <c:v>84212</c:v>
                </c:pt>
                <c:pt idx="293">
                  <c:v>149834</c:v>
                </c:pt>
                <c:pt idx="294">
                  <c:v>159741</c:v>
                </c:pt>
                <c:pt idx="295">
                  <c:v>-18816</c:v>
                </c:pt>
                <c:pt idx="296">
                  <c:v>116714</c:v>
                </c:pt>
                <c:pt idx="297">
                  <c:v>8653</c:v>
                </c:pt>
                <c:pt idx="298">
                  <c:v>85175</c:v>
                </c:pt>
                <c:pt idx="299">
                  <c:v>118124</c:v>
                </c:pt>
                <c:pt idx="300">
                  <c:v>83361</c:v>
                </c:pt>
                <c:pt idx="301">
                  <c:v>152313</c:v>
                </c:pt>
                <c:pt idx="302">
                  <c:v>97619</c:v>
                </c:pt>
                <c:pt idx="303">
                  <c:v>41293</c:v>
                </c:pt>
                <c:pt idx="304">
                  <c:v>30590</c:v>
                </c:pt>
                <c:pt idx="305">
                  <c:v>160695</c:v>
                </c:pt>
                <c:pt idx="306">
                  <c:v>124782</c:v>
                </c:pt>
                <c:pt idx="307">
                  <c:v>83365</c:v>
                </c:pt>
                <c:pt idx="308">
                  <c:v>118203</c:v>
                </c:pt>
                <c:pt idx="309">
                  <c:v>47182</c:v>
                </c:pt>
                <c:pt idx="310">
                  <c:v>52701</c:v>
                </c:pt>
                <c:pt idx="311">
                  <c:v>172899</c:v>
                </c:pt>
                <c:pt idx="312">
                  <c:v>146514</c:v>
                </c:pt>
                <c:pt idx="313">
                  <c:v>51424</c:v>
                </c:pt>
                <c:pt idx="314">
                  <c:v>46851</c:v>
                </c:pt>
                <c:pt idx="315">
                  <c:v>164260</c:v>
                </c:pt>
                <c:pt idx="316">
                  <c:v>117252</c:v>
                </c:pt>
                <c:pt idx="317">
                  <c:v>-2581</c:v>
                </c:pt>
                <c:pt idx="318">
                  <c:v>107135</c:v>
                </c:pt>
                <c:pt idx="319">
                  <c:v>131027</c:v>
                </c:pt>
                <c:pt idx="320">
                  <c:v>92312</c:v>
                </c:pt>
                <c:pt idx="321">
                  <c:v>48541</c:v>
                </c:pt>
                <c:pt idx="322">
                  <c:v>19983</c:v>
                </c:pt>
                <c:pt idx="323">
                  <c:v>52012</c:v>
                </c:pt>
                <c:pt idx="324">
                  <c:v>50270</c:v>
                </c:pt>
                <c:pt idx="325">
                  <c:v>136167</c:v>
                </c:pt>
                <c:pt idx="326">
                  <c:v>170572</c:v>
                </c:pt>
                <c:pt idx="327">
                  <c:v>115622</c:v>
                </c:pt>
                <c:pt idx="328">
                  <c:v>139902</c:v>
                </c:pt>
                <c:pt idx="329">
                  <c:v>135151</c:v>
                </c:pt>
                <c:pt idx="330">
                  <c:v>62401</c:v>
                </c:pt>
                <c:pt idx="331">
                  <c:v>53658</c:v>
                </c:pt>
                <c:pt idx="332">
                  <c:v>35895</c:v>
                </c:pt>
                <c:pt idx="333">
                  <c:v>134075</c:v>
                </c:pt>
                <c:pt idx="334">
                  <c:v>64439</c:v>
                </c:pt>
                <c:pt idx="335">
                  <c:v>53702</c:v>
                </c:pt>
                <c:pt idx="336">
                  <c:v>131995</c:v>
                </c:pt>
                <c:pt idx="337">
                  <c:v>125697</c:v>
                </c:pt>
                <c:pt idx="338">
                  <c:v>89878</c:v>
                </c:pt>
                <c:pt idx="339">
                  <c:v>-21137</c:v>
                </c:pt>
                <c:pt idx="340">
                  <c:v>199143</c:v>
                </c:pt>
                <c:pt idx="341">
                  <c:v>94062</c:v>
                </c:pt>
                <c:pt idx="342">
                  <c:v>40910</c:v>
                </c:pt>
                <c:pt idx="343">
                  <c:v>120004</c:v>
                </c:pt>
                <c:pt idx="344">
                  <c:v>114421</c:v>
                </c:pt>
                <c:pt idx="345">
                  <c:v>101634</c:v>
                </c:pt>
                <c:pt idx="346">
                  <c:v>69785</c:v>
                </c:pt>
                <c:pt idx="347">
                  <c:v>96145</c:v>
                </c:pt>
                <c:pt idx="348">
                  <c:v>91454</c:v>
                </c:pt>
                <c:pt idx="349">
                  <c:v>159873</c:v>
                </c:pt>
                <c:pt idx="350">
                  <c:v>45248</c:v>
                </c:pt>
                <c:pt idx="351">
                  <c:v>52967</c:v>
                </c:pt>
                <c:pt idx="352">
                  <c:v>-33023</c:v>
                </c:pt>
                <c:pt idx="353">
                  <c:v>109917</c:v>
                </c:pt>
                <c:pt idx="354">
                  <c:v>57011</c:v>
                </c:pt>
                <c:pt idx="355">
                  <c:v>74394</c:v>
                </c:pt>
                <c:pt idx="356">
                  <c:v>82628</c:v>
                </c:pt>
                <c:pt idx="357">
                  <c:v>125041</c:v>
                </c:pt>
                <c:pt idx="358">
                  <c:v>65201</c:v>
                </c:pt>
                <c:pt idx="359">
                  <c:v>79286</c:v>
                </c:pt>
                <c:pt idx="360">
                  <c:v>118104</c:v>
                </c:pt>
                <c:pt idx="361">
                  <c:v>185128</c:v>
                </c:pt>
                <c:pt idx="362">
                  <c:v>83853</c:v>
                </c:pt>
                <c:pt idx="363">
                  <c:v>4276</c:v>
                </c:pt>
                <c:pt idx="364">
                  <c:v>202825</c:v>
                </c:pt>
                <c:pt idx="365">
                  <c:v>165788</c:v>
                </c:pt>
                <c:pt idx="366">
                  <c:v>137873</c:v>
                </c:pt>
                <c:pt idx="367">
                  <c:v>131056</c:v>
                </c:pt>
                <c:pt idx="368">
                  <c:v>19415</c:v>
                </c:pt>
                <c:pt idx="369">
                  <c:v>174182</c:v>
                </c:pt>
                <c:pt idx="370">
                  <c:v>49000</c:v>
                </c:pt>
                <c:pt idx="371">
                  <c:v>48727</c:v>
                </c:pt>
                <c:pt idx="372">
                  <c:v>27803</c:v>
                </c:pt>
                <c:pt idx="373">
                  <c:v>-4078</c:v>
                </c:pt>
                <c:pt idx="374">
                  <c:v>46725</c:v>
                </c:pt>
                <c:pt idx="375">
                  <c:v>121117</c:v>
                </c:pt>
                <c:pt idx="376">
                  <c:v>25606</c:v>
                </c:pt>
                <c:pt idx="377">
                  <c:v>103731</c:v>
                </c:pt>
                <c:pt idx="378">
                  <c:v>183080</c:v>
                </c:pt>
                <c:pt idx="379">
                  <c:v>44177</c:v>
                </c:pt>
                <c:pt idx="380">
                  <c:v>57514</c:v>
                </c:pt>
                <c:pt idx="381">
                  <c:v>24260</c:v>
                </c:pt>
                <c:pt idx="382">
                  <c:v>115074</c:v>
                </c:pt>
                <c:pt idx="383">
                  <c:v>176947</c:v>
                </c:pt>
                <c:pt idx="384">
                  <c:v>28092</c:v>
                </c:pt>
                <c:pt idx="385">
                  <c:v>105926</c:v>
                </c:pt>
                <c:pt idx="386">
                  <c:v>121425</c:v>
                </c:pt>
                <c:pt idx="387">
                  <c:v>103359</c:v>
                </c:pt>
                <c:pt idx="388">
                  <c:v>63232</c:v>
                </c:pt>
                <c:pt idx="389">
                  <c:v>-53348</c:v>
                </c:pt>
                <c:pt idx="390">
                  <c:v>202931</c:v>
                </c:pt>
                <c:pt idx="391">
                  <c:v>90817</c:v>
                </c:pt>
                <c:pt idx="392">
                  <c:v>197532</c:v>
                </c:pt>
                <c:pt idx="393">
                  <c:v>79118</c:v>
                </c:pt>
                <c:pt idx="394">
                  <c:v>138694</c:v>
                </c:pt>
                <c:pt idx="395">
                  <c:v>197396</c:v>
                </c:pt>
                <c:pt idx="396">
                  <c:v>67994</c:v>
                </c:pt>
                <c:pt idx="397">
                  <c:v>135889</c:v>
                </c:pt>
                <c:pt idx="398">
                  <c:v>47446</c:v>
                </c:pt>
                <c:pt idx="399">
                  <c:v>52853</c:v>
                </c:pt>
                <c:pt idx="400">
                  <c:v>140204</c:v>
                </c:pt>
                <c:pt idx="401">
                  <c:v>65747</c:v>
                </c:pt>
                <c:pt idx="402">
                  <c:v>118095</c:v>
                </c:pt>
                <c:pt idx="403">
                  <c:v>41084</c:v>
                </c:pt>
                <c:pt idx="404">
                  <c:v>35414</c:v>
                </c:pt>
                <c:pt idx="405">
                  <c:v>-25664</c:v>
                </c:pt>
                <c:pt idx="406">
                  <c:v>-42780</c:v>
                </c:pt>
                <c:pt idx="407">
                  <c:v>139512</c:v>
                </c:pt>
                <c:pt idx="408">
                  <c:v>28740</c:v>
                </c:pt>
                <c:pt idx="409">
                  <c:v>107364</c:v>
                </c:pt>
                <c:pt idx="410">
                  <c:v>-2835</c:v>
                </c:pt>
                <c:pt idx="411">
                  <c:v>92099</c:v>
                </c:pt>
                <c:pt idx="412">
                  <c:v>62535</c:v>
                </c:pt>
                <c:pt idx="413">
                  <c:v>-45327</c:v>
                </c:pt>
                <c:pt idx="414">
                  <c:v>165867</c:v>
                </c:pt>
                <c:pt idx="415">
                  <c:v>75542</c:v>
                </c:pt>
                <c:pt idx="416">
                  <c:v>151043</c:v>
                </c:pt>
                <c:pt idx="417">
                  <c:v>107062</c:v>
                </c:pt>
                <c:pt idx="418">
                  <c:v>150329</c:v>
                </c:pt>
                <c:pt idx="419">
                  <c:v>196205</c:v>
                </c:pt>
                <c:pt idx="420">
                  <c:v>161995</c:v>
                </c:pt>
                <c:pt idx="421">
                  <c:v>15341</c:v>
                </c:pt>
                <c:pt idx="422">
                  <c:v>111055</c:v>
                </c:pt>
                <c:pt idx="423">
                  <c:v>-5604</c:v>
                </c:pt>
                <c:pt idx="424">
                  <c:v>16718</c:v>
                </c:pt>
                <c:pt idx="425">
                  <c:v>128926</c:v>
                </c:pt>
                <c:pt idx="426">
                  <c:v>46091</c:v>
                </c:pt>
                <c:pt idx="427">
                  <c:v>141502</c:v>
                </c:pt>
                <c:pt idx="428">
                  <c:v>201676</c:v>
                </c:pt>
                <c:pt idx="429">
                  <c:v>6184</c:v>
                </c:pt>
                <c:pt idx="430">
                  <c:v>150500</c:v>
                </c:pt>
                <c:pt idx="431">
                  <c:v>104023</c:v>
                </c:pt>
                <c:pt idx="432">
                  <c:v>87182</c:v>
                </c:pt>
                <c:pt idx="433">
                  <c:v>209577</c:v>
                </c:pt>
                <c:pt idx="434">
                  <c:v>44109</c:v>
                </c:pt>
                <c:pt idx="435">
                  <c:v>144354</c:v>
                </c:pt>
                <c:pt idx="436">
                  <c:v>211016</c:v>
                </c:pt>
                <c:pt idx="437">
                  <c:v>29394</c:v>
                </c:pt>
                <c:pt idx="438">
                  <c:v>97487</c:v>
                </c:pt>
                <c:pt idx="439">
                  <c:v>130721</c:v>
                </c:pt>
                <c:pt idx="440">
                  <c:v>124241</c:v>
                </c:pt>
                <c:pt idx="441">
                  <c:v>26079</c:v>
                </c:pt>
                <c:pt idx="442">
                  <c:v>-9034</c:v>
                </c:pt>
                <c:pt idx="443">
                  <c:v>165373</c:v>
                </c:pt>
                <c:pt idx="444">
                  <c:v>96118</c:v>
                </c:pt>
                <c:pt idx="445">
                  <c:v>72252</c:v>
                </c:pt>
                <c:pt idx="446">
                  <c:v>154187</c:v>
                </c:pt>
                <c:pt idx="447">
                  <c:v>127472</c:v>
                </c:pt>
                <c:pt idx="448">
                  <c:v>115331</c:v>
                </c:pt>
                <c:pt idx="449">
                  <c:v>74078</c:v>
                </c:pt>
                <c:pt idx="450">
                  <c:v>184231</c:v>
                </c:pt>
                <c:pt idx="451">
                  <c:v>89376</c:v>
                </c:pt>
                <c:pt idx="452">
                  <c:v>52604</c:v>
                </c:pt>
                <c:pt idx="453">
                  <c:v>36175</c:v>
                </c:pt>
                <c:pt idx="454">
                  <c:v>82290</c:v>
                </c:pt>
                <c:pt idx="455">
                  <c:v>74344</c:v>
                </c:pt>
                <c:pt idx="456">
                  <c:v>81812</c:v>
                </c:pt>
                <c:pt idx="457">
                  <c:v>132583</c:v>
                </c:pt>
                <c:pt idx="458">
                  <c:v>33927</c:v>
                </c:pt>
                <c:pt idx="459">
                  <c:v>41280</c:v>
                </c:pt>
                <c:pt idx="460">
                  <c:v>82669</c:v>
                </c:pt>
                <c:pt idx="461">
                  <c:v>18908</c:v>
                </c:pt>
                <c:pt idx="462">
                  <c:v>196001</c:v>
                </c:pt>
                <c:pt idx="463">
                  <c:v>133836</c:v>
                </c:pt>
                <c:pt idx="464">
                  <c:v>58696</c:v>
                </c:pt>
                <c:pt idx="465">
                  <c:v>142267</c:v>
                </c:pt>
                <c:pt idx="466">
                  <c:v>50071</c:v>
                </c:pt>
                <c:pt idx="467">
                  <c:v>93489</c:v>
                </c:pt>
                <c:pt idx="468">
                  <c:v>213512</c:v>
                </c:pt>
                <c:pt idx="469">
                  <c:v>150406</c:v>
                </c:pt>
                <c:pt idx="470">
                  <c:v>106461</c:v>
                </c:pt>
                <c:pt idx="471">
                  <c:v>49402</c:v>
                </c:pt>
                <c:pt idx="472">
                  <c:v>-36985</c:v>
                </c:pt>
                <c:pt idx="473">
                  <c:v>163270</c:v>
                </c:pt>
                <c:pt idx="474">
                  <c:v>175189</c:v>
                </c:pt>
                <c:pt idx="475">
                  <c:v>167099</c:v>
                </c:pt>
                <c:pt idx="476">
                  <c:v>197980</c:v>
                </c:pt>
                <c:pt idx="477">
                  <c:v>158058</c:v>
                </c:pt>
                <c:pt idx="478">
                  <c:v>112905</c:v>
                </c:pt>
                <c:pt idx="479">
                  <c:v>56413</c:v>
                </c:pt>
                <c:pt idx="480">
                  <c:v>115013</c:v>
                </c:pt>
                <c:pt idx="481">
                  <c:v>84442</c:v>
                </c:pt>
                <c:pt idx="482">
                  <c:v>106573</c:v>
                </c:pt>
                <c:pt idx="483">
                  <c:v>6210</c:v>
                </c:pt>
                <c:pt idx="484">
                  <c:v>238127</c:v>
                </c:pt>
                <c:pt idx="485">
                  <c:v>110099</c:v>
                </c:pt>
                <c:pt idx="486">
                  <c:v>139464</c:v>
                </c:pt>
                <c:pt idx="487">
                  <c:v>105971</c:v>
                </c:pt>
                <c:pt idx="488">
                  <c:v>8611</c:v>
                </c:pt>
                <c:pt idx="489">
                  <c:v>127201</c:v>
                </c:pt>
                <c:pt idx="490">
                  <c:v>18211</c:v>
                </c:pt>
                <c:pt idx="491">
                  <c:v>74336</c:v>
                </c:pt>
                <c:pt idx="492">
                  <c:v>127880</c:v>
                </c:pt>
                <c:pt idx="493">
                  <c:v>22257</c:v>
                </c:pt>
                <c:pt idx="494">
                  <c:v>21892</c:v>
                </c:pt>
                <c:pt idx="495">
                  <c:v>61539</c:v>
                </c:pt>
                <c:pt idx="496">
                  <c:v>-451</c:v>
                </c:pt>
                <c:pt idx="497">
                  <c:v>209805</c:v>
                </c:pt>
                <c:pt idx="498">
                  <c:v>236654</c:v>
                </c:pt>
                <c:pt idx="499">
                  <c:v>126840</c:v>
                </c:pt>
              </c:numCache>
            </c:numRef>
          </c:yVal>
          <c:smooth val="0"/>
          <c:extLst>
            <c:ext xmlns:c16="http://schemas.microsoft.com/office/drawing/2014/chart" uri="{C3380CC4-5D6E-409C-BE32-E72D297353CC}">
              <c16:uniqueId val="{00000000-D3A0-4C4E-B424-3D3145A6B405}"/>
            </c:ext>
          </c:extLst>
        </c:ser>
        <c:dLbls>
          <c:showLegendKey val="0"/>
          <c:showVal val="0"/>
          <c:showCatName val="0"/>
          <c:showSerName val="0"/>
          <c:showPercent val="0"/>
          <c:showBubbleSize val="0"/>
        </c:dLbls>
        <c:axId val="1391695311"/>
        <c:axId val="1391702031"/>
      </c:scatterChart>
      <c:valAx>
        <c:axId val="1391695311"/>
        <c:scaling>
          <c:orientation val="minMax"/>
          <c:min val="50000"/>
        </c:scaling>
        <c:delete val="0"/>
        <c:axPos val="b"/>
        <c:numFmt formatCode="_-[$£-809]* #,##0_-;\-[$£-809]* #,##0_-;_-[$£-809]* &quot;-&quot;_-;_-@_-"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1702031"/>
        <c:crosses val="autoZero"/>
        <c:crossBetween val="midCat"/>
      </c:valAx>
      <c:valAx>
        <c:axId val="1391702031"/>
        <c:scaling>
          <c:orientation val="minMax"/>
        </c:scaling>
        <c:delete val="0"/>
        <c:axPos val="l"/>
        <c:numFmt formatCode="_-[$£-809]* #,##0_-;\-[$£-809]* #,##0_-;_-[$£-809]*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1695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Interest Income VS Net Interest Income</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Powerquery!$B$1</c:f>
              <c:strCache>
                <c:ptCount val="1"/>
                <c:pt idx="0">
                  <c:v>Sum of Net</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Powerquery!$A$2:$A$499</c:f>
              <c:numCache>
                <c:formatCode>General</c:formatCode>
                <c:ptCount val="498"/>
                <c:pt idx="0">
                  <c:v>171958</c:v>
                </c:pt>
                <c:pt idx="1">
                  <c:v>162727</c:v>
                </c:pt>
                <c:pt idx="2">
                  <c:v>50769</c:v>
                </c:pt>
                <c:pt idx="3">
                  <c:v>135305</c:v>
                </c:pt>
                <c:pt idx="4">
                  <c:v>115725</c:v>
                </c:pt>
                <c:pt idx="5">
                  <c:v>61394</c:v>
                </c:pt>
                <c:pt idx="6">
                  <c:v>118148</c:v>
                </c:pt>
                <c:pt idx="7">
                  <c:v>69457</c:v>
                </c:pt>
                <c:pt idx="8">
                  <c:v>87065</c:v>
                </c:pt>
                <c:pt idx="9">
                  <c:v>73247</c:v>
                </c:pt>
                <c:pt idx="10">
                  <c:v>189643</c:v>
                </c:pt>
                <c:pt idx="11">
                  <c:v>52568</c:v>
                </c:pt>
                <c:pt idx="12">
                  <c:v>63986</c:v>
                </c:pt>
                <c:pt idx="13">
                  <c:v>154488</c:v>
                </c:pt>
                <c:pt idx="14">
                  <c:v>139135</c:v>
                </c:pt>
                <c:pt idx="15">
                  <c:v>163252</c:v>
                </c:pt>
                <c:pt idx="16">
                  <c:v>187982</c:v>
                </c:pt>
                <c:pt idx="17">
                  <c:v>100015</c:v>
                </c:pt>
                <c:pt idx="18">
                  <c:v>112623</c:v>
                </c:pt>
                <c:pt idx="19">
                  <c:v>52693</c:v>
                </c:pt>
                <c:pt idx="20">
                  <c:v>76105</c:v>
                </c:pt>
                <c:pt idx="21">
                  <c:v>142787</c:v>
                </c:pt>
                <c:pt idx="22">
                  <c:v>53748</c:v>
                </c:pt>
                <c:pt idx="23">
                  <c:v>118840</c:v>
                </c:pt>
                <c:pt idx="24">
                  <c:v>102733</c:v>
                </c:pt>
                <c:pt idx="25">
                  <c:v>76736</c:v>
                </c:pt>
                <c:pt idx="26">
                  <c:v>100859</c:v>
                </c:pt>
                <c:pt idx="27">
                  <c:v>168906</c:v>
                </c:pt>
                <c:pt idx="28">
                  <c:v>139045</c:v>
                </c:pt>
                <c:pt idx="29">
                  <c:v>65708</c:v>
                </c:pt>
                <c:pt idx="30">
                  <c:v>84754</c:v>
                </c:pt>
                <c:pt idx="31">
                  <c:v>150689</c:v>
                </c:pt>
                <c:pt idx="32">
                  <c:v>162561</c:v>
                </c:pt>
                <c:pt idx="33">
                  <c:v>157512</c:v>
                </c:pt>
                <c:pt idx="34">
                  <c:v>70932</c:v>
                </c:pt>
                <c:pt idx="35">
                  <c:v>65151</c:v>
                </c:pt>
                <c:pt idx="36">
                  <c:v>109040</c:v>
                </c:pt>
                <c:pt idx="37">
                  <c:v>176063</c:v>
                </c:pt>
                <c:pt idx="38">
                  <c:v>71357</c:v>
                </c:pt>
                <c:pt idx="39">
                  <c:v>88467</c:v>
                </c:pt>
                <c:pt idx="40">
                  <c:v>120271</c:v>
                </c:pt>
                <c:pt idx="41">
                  <c:v>187965</c:v>
                </c:pt>
                <c:pt idx="42">
                  <c:v>99377</c:v>
                </c:pt>
                <c:pt idx="43">
                  <c:v>152946</c:v>
                </c:pt>
                <c:pt idx="44">
                  <c:v>113208</c:v>
                </c:pt>
                <c:pt idx="45">
                  <c:v>174019</c:v>
                </c:pt>
                <c:pt idx="46">
                  <c:v>76641</c:v>
                </c:pt>
                <c:pt idx="47">
                  <c:v>86631</c:v>
                </c:pt>
                <c:pt idx="48">
                  <c:v>60729</c:v>
                </c:pt>
                <c:pt idx="49">
                  <c:v>155510</c:v>
                </c:pt>
                <c:pt idx="50">
                  <c:v>79592</c:v>
                </c:pt>
                <c:pt idx="51">
                  <c:v>120031</c:v>
                </c:pt>
                <c:pt idx="52">
                  <c:v>174862</c:v>
                </c:pt>
                <c:pt idx="53">
                  <c:v>145285</c:v>
                </c:pt>
                <c:pt idx="54">
                  <c:v>137235</c:v>
                </c:pt>
                <c:pt idx="55">
                  <c:v>123523</c:v>
                </c:pt>
                <c:pt idx="56">
                  <c:v>162566</c:v>
                </c:pt>
                <c:pt idx="57">
                  <c:v>182222</c:v>
                </c:pt>
                <c:pt idx="58">
                  <c:v>70056</c:v>
                </c:pt>
                <c:pt idx="59">
                  <c:v>163429</c:v>
                </c:pt>
                <c:pt idx="60">
                  <c:v>143468</c:v>
                </c:pt>
                <c:pt idx="61">
                  <c:v>93919</c:v>
                </c:pt>
                <c:pt idx="62">
                  <c:v>73049</c:v>
                </c:pt>
                <c:pt idx="63">
                  <c:v>91975</c:v>
                </c:pt>
                <c:pt idx="64">
                  <c:v>141007</c:v>
                </c:pt>
                <c:pt idx="65">
                  <c:v>141680</c:v>
                </c:pt>
                <c:pt idx="66">
                  <c:v>158940</c:v>
                </c:pt>
                <c:pt idx="67">
                  <c:v>144297</c:v>
                </c:pt>
                <c:pt idx="68">
                  <c:v>107458</c:v>
                </c:pt>
                <c:pt idx="69">
                  <c:v>57543</c:v>
                </c:pt>
                <c:pt idx="70">
                  <c:v>97295</c:v>
                </c:pt>
                <c:pt idx="71">
                  <c:v>111476</c:v>
                </c:pt>
                <c:pt idx="72">
                  <c:v>118450</c:v>
                </c:pt>
                <c:pt idx="73">
                  <c:v>116234</c:v>
                </c:pt>
                <c:pt idx="74">
                  <c:v>109163</c:v>
                </c:pt>
                <c:pt idx="75">
                  <c:v>152795</c:v>
                </c:pt>
                <c:pt idx="76">
                  <c:v>134076</c:v>
                </c:pt>
                <c:pt idx="77">
                  <c:v>88102</c:v>
                </c:pt>
                <c:pt idx="78">
                  <c:v>51542</c:v>
                </c:pt>
                <c:pt idx="79">
                  <c:v>69065</c:v>
                </c:pt>
                <c:pt idx="80">
                  <c:v>182396</c:v>
                </c:pt>
                <c:pt idx="81">
                  <c:v>168874</c:v>
                </c:pt>
                <c:pt idx="82">
                  <c:v>173961</c:v>
                </c:pt>
                <c:pt idx="83">
                  <c:v>92918</c:v>
                </c:pt>
                <c:pt idx="84">
                  <c:v>73960</c:v>
                </c:pt>
                <c:pt idx="85">
                  <c:v>84620</c:v>
                </c:pt>
                <c:pt idx="86">
                  <c:v>63843</c:v>
                </c:pt>
                <c:pt idx="87">
                  <c:v>188186</c:v>
                </c:pt>
                <c:pt idx="88">
                  <c:v>96427</c:v>
                </c:pt>
                <c:pt idx="89">
                  <c:v>54835</c:v>
                </c:pt>
                <c:pt idx="90">
                  <c:v>147007</c:v>
                </c:pt>
                <c:pt idx="91">
                  <c:v>179473</c:v>
                </c:pt>
                <c:pt idx="92">
                  <c:v>111813</c:v>
                </c:pt>
                <c:pt idx="93">
                  <c:v>56970</c:v>
                </c:pt>
                <c:pt idx="94">
                  <c:v>181456</c:v>
                </c:pt>
                <c:pt idx="95">
                  <c:v>130642</c:v>
                </c:pt>
                <c:pt idx="96">
                  <c:v>194528</c:v>
                </c:pt>
                <c:pt idx="97">
                  <c:v>107091</c:v>
                </c:pt>
                <c:pt idx="98">
                  <c:v>86187</c:v>
                </c:pt>
                <c:pt idx="99">
                  <c:v>87131</c:v>
                </c:pt>
                <c:pt idx="100">
                  <c:v>69198</c:v>
                </c:pt>
                <c:pt idx="101">
                  <c:v>103682</c:v>
                </c:pt>
                <c:pt idx="102">
                  <c:v>105393</c:v>
                </c:pt>
                <c:pt idx="103">
                  <c:v>103413</c:v>
                </c:pt>
                <c:pt idx="104">
                  <c:v>93088</c:v>
                </c:pt>
                <c:pt idx="105">
                  <c:v>55569</c:v>
                </c:pt>
                <c:pt idx="106">
                  <c:v>198216</c:v>
                </c:pt>
                <c:pt idx="107">
                  <c:v>74071</c:v>
                </c:pt>
                <c:pt idx="108">
                  <c:v>78732</c:v>
                </c:pt>
                <c:pt idx="109">
                  <c:v>129252</c:v>
                </c:pt>
                <c:pt idx="110">
                  <c:v>162428</c:v>
                </c:pt>
                <c:pt idx="111">
                  <c:v>168831</c:v>
                </c:pt>
                <c:pt idx="112">
                  <c:v>100428</c:v>
                </c:pt>
                <c:pt idx="113">
                  <c:v>78699</c:v>
                </c:pt>
                <c:pt idx="114">
                  <c:v>186198</c:v>
                </c:pt>
                <c:pt idx="115">
                  <c:v>168033</c:v>
                </c:pt>
                <c:pt idx="116">
                  <c:v>191339</c:v>
                </c:pt>
                <c:pt idx="117">
                  <c:v>154592</c:v>
                </c:pt>
                <c:pt idx="118">
                  <c:v>174049</c:v>
                </c:pt>
                <c:pt idx="119">
                  <c:v>131264</c:v>
                </c:pt>
                <c:pt idx="120">
                  <c:v>98447</c:v>
                </c:pt>
                <c:pt idx="121">
                  <c:v>166148</c:v>
                </c:pt>
                <c:pt idx="122">
                  <c:v>126125</c:v>
                </c:pt>
                <c:pt idx="123">
                  <c:v>54324</c:v>
                </c:pt>
                <c:pt idx="124">
                  <c:v>181189</c:v>
                </c:pt>
                <c:pt idx="125">
                  <c:v>96514</c:v>
                </c:pt>
                <c:pt idx="126">
                  <c:v>177534</c:v>
                </c:pt>
                <c:pt idx="127">
                  <c:v>82254</c:v>
                </c:pt>
                <c:pt idx="128">
                  <c:v>190937</c:v>
                </c:pt>
                <c:pt idx="129">
                  <c:v>158872</c:v>
                </c:pt>
                <c:pt idx="130">
                  <c:v>156288</c:v>
                </c:pt>
                <c:pt idx="131">
                  <c:v>134555</c:v>
                </c:pt>
                <c:pt idx="132">
                  <c:v>108596</c:v>
                </c:pt>
                <c:pt idx="133">
                  <c:v>93303</c:v>
                </c:pt>
                <c:pt idx="134">
                  <c:v>152974</c:v>
                </c:pt>
                <c:pt idx="135">
                  <c:v>199453</c:v>
                </c:pt>
                <c:pt idx="136">
                  <c:v>146646</c:v>
                </c:pt>
                <c:pt idx="137">
                  <c:v>75053</c:v>
                </c:pt>
                <c:pt idx="138">
                  <c:v>82154</c:v>
                </c:pt>
                <c:pt idx="139">
                  <c:v>96197</c:v>
                </c:pt>
                <c:pt idx="140">
                  <c:v>90631</c:v>
                </c:pt>
                <c:pt idx="141">
                  <c:v>197550</c:v>
                </c:pt>
                <c:pt idx="142">
                  <c:v>126325</c:v>
                </c:pt>
                <c:pt idx="143">
                  <c:v>183515</c:v>
                </c:pt>
                <c:pt idx="144">
                  <c:v>87219</c:v>
                </c:pt>
                <c:pt idx="145">
                  <c:v>77632</c:v>
                </c:pt>
                <c:pt idx="146">
                  <c:v>84560</c:v>
                </c:pt>
                <c:pt idx="147">
                  <c:v>150158</c:v>
                </c:pt>
                <c:pt idx="148">
                  <c:v>107545</c:v>
                </c:pt>
                <c:pt idx="149">
                  <c:v>189649</c:v>
                </c:pt>
                <c:pt idx="150">
                  <c:v>91914</c:v>
                </c:pt>
                <c:pt idx="151">
                  <c:v>54757</c:v>
                </c:pt>
                <c:pt idx="152">
                  <c:v>120480</c:v>
                </c:pt>
                <c:pt idx="153">
                  <c:v>146731</c:v>
                </c:pt>
                <c:pt idx="154">
                  <c:v>142374</c:v>
                </c:pt>
                <c:pt idx="155">
                  <c:v>140397</c:v>
                </c:pt>
                <c:pt idx="156">
                  <c:v>187717</c:v>
                </c:pt>
                <c:pt idx="157">
                  <c:v>102487</c:v>
                </c:pt>
                <c:pt idx="158">
                  <c:v>181026</c:v>
                </c:pt>
                <c:pt idx="159">
                  <c:v>80678</c:v>
                </c:pt>
                <c:pt idx="160">
                  <c:v>135595</c:v>
                </c:pt>
                <c:pt idx="161">
                  <c:v>134458</c:v>
                </c:pt>
                <c:pt idx="162">
                  <c:v>54425</c:v>
                </c:pt>
                <c:pt idx="163">
                  <c:v>168865</c:v>
                </c:pt>
                <c:pt idx="164">
                  <c:v>144914</c:v>
                </c:pt>
                <c:pt idx="165">
                  <c:v>188155</c:v>
                </c:pt>
                <c:pt idx="166">
                  <c:v>140093</c:v>
                </c:pt>
                <c:pt idx="167">
                  <c:v>149608</c:v>
                </c:pt>
                <c:pt idx="168">
                  <c:v>105961</c:v>
                </c:pt>
                <c:pt idx="169">
                  <c:v>171829</c:v>
                </c:pt>
                <c:pt idx="170">
                  <c:v>131182</c:v>
                </c:pt>
                <c:pt idx="171">
                  <c:v>192736</c:v>
                </c:pt>
                <c:pt idx="172">
                  <c:v>151371</c:v>
                </c:pt>
                <c:pt idx="173">
                  <c:v>107492</c:v>
                </c:pt>
                <c:pt idx="174">
                  <c:v>54853</c:v>
                </c:pt>
                <c:pt idx="175">
                  <c:v>196922</c:v>
                </c:pt>
                <c:pt idx="176">
                  <c:v>182596</c:v>
                </c:pt>
                <c:pt idx="177">
                  <c:v>133559</c:v>
                </c:pt>
                <c:pt idx="178">
                  <c:v>70581</c:v>
                </c:pt>
                <c:pt idx="179">
                  <c:v>86408</c:v>
                </c:pt>
                <c:pt idx="180">
                  <c:v>193326</c:v>
                </c:pt>
                <c:pt idx="181">
                  <c:v>196968</c:v>
                </c:pt>
                <c:pt idx="182">
                  <c:v>87641</c:v>
                </c:pt>
                <c:pt idx="183">
                  <c:v>74070</c:v>
                </c:pt>
                <c:pt idx="184">
                  <c:v>187809</c:v>
                </c:pt>
                <c:pt idx="185">
                  <c:v>116150</c:v>
                </c:pt>
                <c:pt idx="186">
                  <c:v>184055</c:v>
                </c:pt>
                <c:pt idx="187">
                  <c:v>94547</c:v>
                </c:pt>
                <c:pt idx="188">
                  <c:v>129273</c:v>
                </c:pt>
                <c:pt idx="189">
                  <c:v>194991</c:v>
                </c:pt>
                <c:pt idx="190">
                  <c:v>111916</c:v>
                </c:pt>
                <c:pt idx="191">
                  <c:v>74574</c:v>
                </c:pt>
                <c:pt idx="192">
                  <c:v>82413</c:v>
                </c:pt>
                <c:pt idx="193">
                  <c:v>185566</c:v>
                </c:pt>
                <c:pt idx="194">
                  <c:v>174343</c:v>
                </c:pt>
                <c:pt idx="195">
                  <c:v>130435</c:v>
                </c:pt>
                <c:pt idx="196">
                  <c:v>91844</c:v>
                </c:pt>
                <c:pt idx="197">
                  <c:v>166953</c:v>
                </c:pt>
                <c:pt idx="198">
                  <c:v>116262</c:v>
                </c:pt>
                <c:pt idx="199">
                  <c:v>162855</c:v>
                </c:pt>
                <c:pt idx="200">
                  <c:v>110504</c:v>
                </c:pt>
                <c:pt idx="201">
                  <c:v>93642</c:v>
                </c:pt>
                <c:pt idx="202">
                  <c:v>114772</c:v>
                </c:pt>
                <c:pt idx="203">
                  <c:v>185044</c:v>
                </c:pt>
                <c:pt idx="204">
                  <c:v>165005</c:v>
                </c:pt>
                <c:pt idx="205">
                  <c:v>121719</c:v>
                </c:pt>
                <c:pt idx="206">
                  <c:v>155228</c:v>
                </c:pt>
                <c:pt idx="207">
                  <c:v>119274</c:v>
                </c:pt>
                <c:pt idx="208">
                  <c:v>118344</c:v>
                </c:pt>
                <c:pt idx="209">
                  <c:v>92534</c:v>
                </c:pt>
                <c:pt idx="210">
                  <c:v>125418</c:v>
                </c:pt>
                <c:pt idx="211">
                  <c:v>81575</c:v>
                </c:pt>
                <c:pt idx="212">
                  <c:v>194353</c:v>
                </c:pt>
                <c:pt idx="213">
                  <c:v>165953</c:v>
                </c:pt>
                <c:pt idx="214">
                  <c:v>70953</c:v>
                </c:pt>
                <c:pt idx="215">
                  <c:v>127475</c:v>
                </c:pt>
                <c:pt idx="216">
                  <c:v>143106</c:v>
                </c:pt>
                <c:pt idx="217">
                  <c:v>173395</c:v>
                </c:pt>
                <c:pt idx="218">
                  <c:v>125932</c:v>
                </c:pt>
                <c:pt idx="219">
                  <c:v>72042</c:v>
                </c:pt>
                <c:pt idx="220">
                  <c:v>98901</c:v>
                </c:pt>
                <c:pt idx="221">
                  <c:v>183052</c:v>
                </c:pt>
                <c:pt idx="222">
                  <c:v>76385</c:v>
                </c:pt>
                <c:pt idx="223">
                  <c:v>165672</c:v>
                </c:pt>
                <c:pt idx="224">
                  <c:v>135553</c:v>
                </c:pt>
                <c:pt idx="225">
                  <c:v>186727</c:v>
                </c:pt>
                <c:pt idx="226">
                  <c:v>97837</c:v>
                </c:pt>
                <c:pt idx="227">
                  <c:v>179749</c:v>
                </c:pt>
                <c:pt idx="228">
                  <c:v>152471</c:v>
                </c:pt>
                <c:pt idx="229">
                  <c:v>156661</c:v>
                </c:pt>
                <c:pt idx="230">
                  <c:v>80087</c:v>
                </c:pt>
                <c:pt idx="231">
                  <c:v>175816</c:v>
                </c:pt>
                <c:pt idx="232">
                  <c:v>124441</c:v>
                </c:pt>
                <c:pt idx="233">
                  <c:v>162360</c:v>
                </c:pt>
                <c:pt idx="234">
                  <c:v>100861</c:v>
                </c:pt>
                <c:pt idx="235">
                  <c:v>182997</c:v>
                </c:pt>
                <c:pt idx="236">
                  <c:v>184461</c:v>
                </c:pt>
                <c:pt idx="237">
                  <c:v>148511</c:v>
                </c:pt>
                <c:pt idx="238">
                  <c:v>148818</c:v>
                </c:pt>
                <c:pt idx="239">
                  <c:v>122715</c:v>
                </c:pt>
                <c:pt idx="240">
                  <c:v>173629</c:v>
                </c:pt>
                <c:pt idx="241">
                  <c:v>142447</c:v>
                </c:pt>
                <c:pt idx="242">
                  <c:v>52920</c:v>
                </c:pt>
                <c:pt idx="243">
                  <c:v>105230</c:v>
                </c:pt>
                <c:pt idx="244">
                  <c:v>75963</c:v>
                </c:pt>
                <c:pt idx="245">
                  <c:v>122099</c:v>
                </c:pt>
                <c:pt idx="246">
                  <c:v>76017</c:v>
                </c:pt>
                <c:pt idx="247">
                  <c:v>136652</c:v>
                </c:pt>
                <c:pt idx="248">
                  <c:v>138397</c:v>
                </c:pt>
                <c:pt idx="249">
                  <c:v>146059</c:v>
                </c:pt>
                <c:pt idx="250">
                  <c:v>117649</c:v>
                </c:pt>
                <c:pt idx="251">
                  <c:v>168154</c:v>
                </c:pt>
                <c:pt idx="252">
                  <c:v>170585</c:v>
                </c:pt>
                <c:pt idx="253">
                  <c:v>121635</c:v>
                </c:pt>
                <c:pt idx="254">
                  <c:v>59847</c:v>
                </c:pt>
                <c:pt idx="255">
                  <c:v>84707</c:v>
                </c:pt>
                <c:pt idx="256">
                  <c:v>182130</c:v>
                </c:pt>
                <c:pt idx="257">
                  <c:v>182311</c:v>
                </c:pt>
                <c:pt idx="258">
                  <c:v>187710</c:v>
                </c:pt>
                <c:pt idx="259">
                  <c:v>72911</c:v>
                </c:pt>
                <c:pt idx="260">
                  <c:v>171863</c:v>
                </c:pt>
                <c:pt idx="261">
                  <c:v>98320</c:v>
                </c:pt>
                <c:pt idx="262">
                  <c:v>160448</c:v>
                </c:pt>
                <c:pt idx="263">
                  <c:v>69508</c:v>
                </c:pt>
                <c:pt idx="264">
                  <c:v>153409</c:v>
                </c:pt>
                <c:pt idx="265">
                  <c:v>168516</c:v>
                </c:pt>
                <c:pt idx="266">
                  <c:v>86321</c:v>
                </c:pt>
                <c:pt idx="267">
                  <c:v>141736</c:v>
                </c:pt>
                <c:pt idx="268">
                  <c:v>85643</c:v>
                </c:pt>
                <c:pt idx="269">
                  <c:v>75537</c:v>
                </c:pt>
                <c:pt idx="270">
                  <c:v>81348</c:v>
                </c:pt>
                <c:pt idx="271">
                  <c:v>103551</c:v>
                </c:pt>
                <c:pt idx="272">
                  <c:v>128714</c:v>
                </c:pt>
                <c:pt idx="273">
                  <c:v>137163</c:v>
                </c:pt>
                <c:pt idx="274">
                  <c:v>96413</c:v>
                </c:pt>
                <c:pt idx="275">
                  <c:v>171999</c:v>
                </c:pt>
                <c:pt idx="276">
                  <c:v>136365</c:v>
                </c:pt>
                <c:pt idx="277">
                  <c:v>68743</c:v>
                </c:pt>
                <c:pt idx="278">
                  <c:v>157971</c:v>
                </c:pt>
                <c:pt idx="279">
                  <c:v>138204</c:v>
                </c:pt>
                <c:pt idx="280">
                  <c:v>87384</c:v>
                </c:pt>
                <c:pt idx="281">
                  <c:v>188299</c:v>
                </c:pt>
                <c:pt idx="282">
                  <c:v>177556</c:v>
                </c:pt>
                <c:pt idx="283">
                  <c:v>127231</c:v>
                </c:pt>
                <c:pt idx="284">
                  <c:v>57421</c:v>
                </c:pt>
                <c:pt idx="285">
                  <c:v>160944</c:v>
                </c:pt>
                <c:pt idx="286">
                  <c:v>122240</c:v>
                </c:pt>
                <c:pt idx="287">
                  <c:v>175703</c:v>
                </c:pt>
                <c:pt idx="288">
                  <c:v>124069</c:v>
                </c:pt>
                <c:pt idx="289">
                  <c:v>147543</c:v>
                </c:pt>
                <c:pt idx="290">
                  <c:v>60526</c:v>
                </c:pt>
                <c:pt idx="291">
                  <c:v>174982</c:v>
                </c:pt>
                <c:pt idx="292">
                  <c:v>191826</c:v>
                </c:pt>
                <c:pt idx="293">
                  <c:v>148452</c:v>
                </c:pt>
                <c:pt idx="294">
                  <c:v>60699</c:v>
                </c:pt>
                <c:pt idx="295">
                  <c:v>174481</c:v>
                </c:pt>
                <c:pt idx="296">
                  <c:v>68073</c:v>
                </c:pt>
                <c:pt idx="297">
                  <c:v>111929</c:v>
                </c:pt>
                <c:pt idx="298">
                  <c:v>113133</c:v>
                </c:pt>
                <c:pt idx="299">
                  <c:v>162020</c:v>
                </c:pt>
                <c:pt idx="300">
                  <c:v>186728</c:v>
                </c:pt>
                <c:pt idx="301">
                  <c:v>81055</c:v>
                </c:pt>
                <c:pt idx="302">
                  <c:v>73429</c:v>
                </c:pt>
                <c:pt idx="303">
                  <c:v>67347</c:v>
                </c:pt>
                <c:pt idx="304">
                  <c:v>160719</c:v>
                </c:pt>
                <c:pt idx="305">
                  <c:v>105099</c:v>
                </c:pt>
                <c:pt idx="306">
                  <c:v>89922</c:v>
                </c:pt>
                <c:pt idx="307">
                  <c:v>169863</c:v>
                </c:pt>
                <c:pt idx="308">
                  <c:v>78141</c:v>
                </c:pt>
                <c:pt idx="309">
                  <c:v>104823</c:v>
                </c:pt>
                <c:pt idx="310">
                  <c:v>148723</c:v>
                </c:pt>
                <c:pt idx="311">
                  <c:v>149071</c:v>
                </c:pt>
                <c:pt idx="312">
                  <c:v>126373</c:v>
                </c:pt>
                <c:pt idx="313">
                  <c:v>56548</c:v>
                </c:pt>
                <c:pt idx="314">
                  <c:v>181743</c:v>
                </c:pt>
                <c:pt idx="315">
                  <c:v>72420</c:v>
                </c:pt>
                <c:pt idx="316">
                  <c:v>87487</c:v>
                </c:pt>
                <c:pt idx="317">
                  <c:v>167360</c:v>
                </c:pt>
                <c:pt idx="318">
                  <c:v>154576</c:v>
                </c:pt>
                <c:pt idx="319">
                  <c:v>140353</c:v>
                </c:pt>
                <c:pt idx="320">
                  <c:v>101399</c:v>
                </c:pt>
                <c:pt idx="321">
                  <c:v>106492</c:v>
                </c:pt>
                <c:pt idx="322">
                  <c:v>113530</c:v>
                </c:pt>
                <c:pt idx="323">
                  <c:v>138340</c:v>
                </c:pt>
                <c:pt idx="324">
                  <c:v>175426</c:v>
                </c:pt>
                <c:pt idx="325">
                  <c:v>176303</c:v>
                </c:pt>
                <c:pt idx="326">
                  <c:v>198702</c:v>
                </c:pt>
                <c:pt idx="327">
                  <c:v>188051</c:v>
                </c:pt>
                <c:pt idx="328">
                  <c:v>136205</c:v>
                </c:pt>
                <c:pt idx="329">
                  <c:v>67153</c:v>
                </c:pt>
                <c:pt idx="330">
                  <c:v>145457</c:v>
                </c:pt>
                <c:pt idx="331">
                  <c:v>88714</c:v>
                </c:pt>
                <c:pt idx="332">
                  <c:v>183533</c:v>
                </c:pt>
                <c:pt idx="333">
                  <c:v>127794</c:v>
                </c:pt>
                <c:pt idx="334">
                  <c:v>150500</c:v>
                </c:pt>
                <c:pt idx="335">
                  <c:v>195643</c:v>
                </c:pt>
                <c:pt idx="336">
                  <c:v>135457</c:v>
                </c:pt>
                <c:pt idx="337">
                  <c:v>70567</c:v>
                </c:pt>
                <c:pt idx="338">
                  <c:v>58706</c:v>
                </c:pt>
                <c:pt idx="339">
                  <c:v>186998</c:v>
                </c:pt>
                <c:pt idx="340">
                  <c:v>105147</c:v>
                </c:pt>
                <c:pt idx="341">
                  <c:v>145081</c:v>
                </c:pt>
                <c:pt idx="342">
                  <c:v>126865</c:v>
                </c:pt>
                <c:pt idx="343">
                  <c:v>191877</c:v>
                </c:pt>
                <c:pt idx="344">
                  <c:v>90372</c:v>
                </c:pt>
                <c:pt idx="345">
                  <c:v>132617</c:v>
                </c:pt>
                <c:pt idx="346">
                  <c:v>123445</c:v>
                </c:pt>
                <c:pt idx="347">
                  <c:v>196451</c:v>
                </c:pt>
                <c:pt idx="348">
                  <c:v>197159</c:v>
                </c:pt>
                <c:pt idx="349">
                  <c:v>115697</c:v>
                </c:pt>
                <c:pt idx="350">
                  <c:v>128229</c:v>
                </c:pt>
                <c:pt idx="351">
                  <c:v>63428</c:v>
                </c:pt>
                <c:pt idx="352">
                  <c:v>78854</c:v>
                </c:pt>
                <c:pt idx="353">
                  <c:v>134730</c:v>
                </c:pt>
                <c:pt idx="354">
                  <c:v>127984</c:v>
                </c:pt>
                <c:pt idx="355">
                  <c:v>134045</c:v>
                </c:pt>
                <c:pt idx="356">
                  <c:v>96850</c:v>
                </c:pt>
                <c:pt idx="357">
                  <c:v>73284</c:v>
                </c:pt>
                <c:pt idx="358">
                  <c:v>112812</c:v>
                </c:pt>
                <c:pt idx="359">
                  <c:v>158899</c:v>
                </c:pt>
                <c:pt idx="360">
                  <c:v>167666</c:v>
                </c:pt>
                <c:pt idx="361">
                  <c:v>67069</c:v>
                </c:pt>
                <c:pt idx="362">
                  <c:v>112424</c:v>
                </c:pt>
                <c:pt idx="363">
                  <c:v>142573</c:v>
                </c:pt>
                <c:pt idx="364">
                  <c:v>198087</c:v>
                </c:pt>
                <c:pt idx="365">
                  <c:v>91800</c:v>
                </c:pt>
                <c:pt idx="366">
                  <c:v>196964</c:v>
                </c:pt>
                <c:pt idx="367">
                  <c:v>116707</c:v>
                </c:pt>
                <c:pt idx="368">
                  <c:v>199817</c:v>
                </c:pt>
                <c:pt idx="369">
                  <c:v>56304</c:v>
                </c:pt>
                <c:pt idx="370">
                  <c:v>69446</c:v>
                </c:pt>
                <c:pt idx="371">
                  <c:v>68474</c:v>
                </c:pt>
                <c:pt idx="372">
                  <c:v>119184</c:v>
                </c:pt>
                <c:pt idx="373">
                  <c:v>118673</c:v>
                </c:pt>
                <c:pt idx="374">
                  <c:v>124071</c:v>
                </c:pt>
                <c:pt idx="375">
                  <c:v>117263</c:v>
                </c:pt>
                <c:pt idx="376">
                  <c:v>193891</c:v>
                </c:pt>
                <c:pt idx="377">
                  <c:v>192055</c:v>
                </c:pt>
                <c:pt idx="378">
                  <c:v>56823</c:v>
                </c:pt>
                <c:pt idx="379">
                  <c:v>63565</c:v>
                </c:pt>
                <c:pt idx="380">
                  <c:v>71253</c:v>
                </c:pt>
                <c:pt idx="381">
                  <c:v>183623</c:v>
                </c:pt>
                <c:pt idx="382">
                  <c:v>188311</c:v>
                </c:pt>
                <c:pt idx="383">
                  <c:v>87991</c:v>
                </c:pt>
                <c:pt idx="384">
                  <c:v>56530</c:v>
                </c:pt>
                <c:pt idx="385">
                  <c:v>175147</c:v>
                </c:pt>
                <c:pt idx="386">
                  <c:v>174661</c:v>
                </c:pt>
                <c:pt idx="387">
                  <c:v>104400</c:v>
                </c:pt>
                <c:pt idx="388">
                  <c:v>51283</c:v>
                </c:pt>
                <c:pt idx="389">
                  <c:v>189076</c:v>
                </c:pt>
                <c:pt idx="390">
                  <c:v>82994</c:v>
                </c:pt>
                <c:pt idx="391">
                  <c:v>181717</c:v>
                </c:pt>
                <c:pt idx="392">
                  <c:v>93732</c:v>
                </c:pt>
                <c:pt idx="393">
                  <c:v>119615</c:v>
                </c:pt>
                <c:pt idx="394">
                  <c:v>194302</c:v>
                </c:pt>
                <c:pt idx="395">
                  <c:v>187488</c:v>
                </c:pt>
                <c:pt idx="396">
                  <c:v>179295</c:v>
                </c:pt>
                <c:pt idx="397">
                  <c:v>117494</c:v>
                </c:pt>
                <c:pt idx="398">
                  <c:v>137960</c:v>
                </c:pt>
                <c:pt idx="399">
                  <c:v>159869</c:v>
                </c:pt>
                <c:pt idx="400">
                  <c:v>148696</c:v>
                </c:pt>
                <c:pt idx="401">
                  <c:v>136661</c:v>
                </c:pt>
                <c:pt idx="402">
                  <c:v>183669</c:v>
                </c:pt>
                <c:pt idx="403">
                  <c:v>62109</c:v>
                </c:pt>
                <c:pt idx="404">
                  <c:v>84518</c:v>
                </c:pt>
                <c:pt idx="405">
                  <c:v>55075</c:v>
                </c:pt>
                <c:pt idx="406">
                  <c:v>144840</c:v>
                </c:pt>
                <c:pt idx="407">
                  <c:v>93472</c:v>
                </c:pt>
                <c:pt idx="408">
                  <c:v>96733</c:v>
                </c:pt>
                <c:pt idx="409">
                  <c:v>64849</c:v>
                </c:pt>
                <c:pt idx="410">
                  <c:v>101631</c:v>
                </c:pt>
                <c:pt idx="411">
                  <c:v>145998</c:v>
                </c:pt>
                <c:pt idx="412">
                  <c:v>66288</c:v>
                </c:pt>
                <c:pt idx="413">
                  <c:v>109871</c:v>
                </c:pt>
                <c:pt idx="414">
                  <c:v>76649</c:v>
                </c:pt>
                <c:pt idx="415">
                  <c:v>198934</c:v>
                </c:pt>
                <c:pt idx="416">
                  <c:v>181265</c:v>
                </c:pt>
                <c:pt idx="417">
                  <c:v>90197</c:v>
                </c:pt>
                <c:pt idx="418">
                  <c:v>185450</c:v>
                </c:pt>
                <c:pt idx="419">
                  <c:v>145074</c:v>
                </c:pt>
                <c:pt idx="420">
                  <c:v>104245</c:v>
                </c:pt>
                <c:pt idx="421">
                  <c:v>146038</c:v>
                </c:pt>
                <c:pt idx="422">
                  <c:v>115333</c:v>
                </c:pt>
                <c:pt idx="423">
                  <c:v>85634</c:v>
                </c:pt>
                <c:pt idx="424">
                  <c:v>131554</c:v>
                </c:pt>
                <c:pt idx="425">
                  <c:v>128279</c:v>
                </c:pt>
                <c:pt idx="426">
                  <c:v>184393</c:v>
                </c:pt>
                <c:pt idx="427">
                  <c:v>184832</c:v>
                </c:pt>
                <c:pt idx="428">
                  <c:v>53744</c:v>
                </c:pt>
                <c:pt idx="429">
                  <c:v>152112</c:v>
                </c:pt>
                <c:pt idx="430">
                  <c:v>136120</c:v>
                </c:pt>
                <c:pt idx="431">
                  <c:v>126917</c:v>
                </c:pt>
                <c:pt idx="432">
                  <c:v>187103</c:v>
                </c:pt>
                <c:pt idx="433">
                  <c:v>117534</c:v>
                </c:pt>
                <c:pt idx="434">
                  <c:v>169006</c:v>
                </c:pt>
                <c:pt idx="435">
                  <c:v>198586</c:v>
                </c:pt>
                <c:pt idx="436">
                  <c:v>143547</c:v>
                </c:pt>
                <c:pt idx="437">
                  <c:v>104312</c:v>
                </c:pt>
                <c:pt idx="438">
                  <c:v>133555</c:v>
                </c:pt>
                <c:pt idx="439">
                  <c:v>141703</c:v>
                </c:pt>
                <c:pt idx="440">
                  <c:v>90379</c:v>
                </c:pt>
                <c:pt idx="441">
                  <c:v>61120</c:v>
                </c:pt>
                <c:pt idx="442">
                  <c:v>145040</c:v>
                </c:pt>
                <c:pt idx="443">
                  <c:v>92359</c:v>
                </c:pt>
                <c:pt idx="444">
                  <c:v>164650</c:v>
                </c:pt>
                <c:pt idx="445">
                  <c:v>183241</c:v>
                </c:pt>
                <c:pt idx="446">
                  <c:v>187416</c:v>
                </c:pt>
                <c:pt idx="447">
                  <c:v>160659</c:v>
                </c:pt>
                <c:pt idx="448">
                  <c:v>58556</c:v>
                </c:pt>
                <c:pt idx="449">
                  <c:v>176060</c:v>
                </c:pt>
                <c:pt idx="450">
                  <c:v>50138</c:v>
                </c:pt>
                <c:pt idx="451">
                  <c:v>108478</c:v>
                </c:pt>
                <c:pt idx="452">
                  <c:v>70219</c:v>
                </c:pt>
                <c:pt idx="453">
                  <c:v>127988</c:v>
                </c:pt>
                <c:pt idx="454">
                  <c:v>142021</c:v>
                </c:pt>
                <c:pt idx="455">
                  <c:v>126021</c:v>
                </c:pt>
                <c:pt idx="456">
                  <c:v>182279</c:v>
                </c:pt>
                <c:pt idx="457">
                  <c:v>116418</c:v>
                </c:pt>
                <c:pt idx="458">
                  <c:v>156233</c:v>
                </c:pt>
                <c:pt idx="459">
                  <c:v>68354</c:v>
                </c:pt>
                <c:pt idx="460">
                  <c:v>175438</c:v>
                </c:pt>
                <c:pt idx="461">
                  <c:v>152239</c:v>
                </c:pt>
                <c:pt idx="462">
                  <c:v>74045</c:v>
                </c:pt>
                <c:pt idx="463">
                  <c:v>186917</c:v>
                </c:pt>
                <c:pt idx="464">
                  <c:v>102887</c:v>
                </c:pt>
                <c:pt idx="465">
                  <c:v>134761</c:v>
                </c:pt>
                <c:pt idx="466">
                  <c:v>190836</c:v>
                </c:pt>
                <c:pt idx="467">
                  <c:v>156752</c:v>
                </c:pt>
                <c:pt idx="468">
                  <c:v>127064</c:v>
                </c:pt>
                <c:pt idx="469">
                  <c:v>69810</c:v>
                </c:pt>
                <c:pt idx="470">
                  <c:v>72031</c:v>
                </c:pt>
                <c:pt idx="471">
                  <c:v>161041</c:v>
                </c:pt>
                <c:pt idx="472">
                  <c:v>198694</c:v>
                </c:pt>
                <c:pt idx="473">
                  <c:v>196664</c:v>
                </c:pt>
                <c:pt idx="474">
                  <c:v>174184</c:v>
                </c:pt>
                <c:pt idx="475">
                  <c:v>139571</c:v>
                </c:pt>
                <c:pt idx="476">
                  <c:v>157507</c:v>
                </c:pt>
                <c:pt idx="477">
                  <c:v>121126</c:v>
                </c:pt>
                <c:pt idx="478">
                  <c:v>96154</c:v>
                </c:pt>
                <c:pt idx="479">
                  <c:v>139081</c:v>
                </c:pt>
                <c:pt idx="480">
                  <c:v>112551</c:v>
                </c:pt>
                <c:pt idx="481">
                  <c:v>105103</c:v>
                </c:pt>
                <c:pt idx="482">
                  <c:v>197281</c:v>
                </c:pt>
                <c:pt idx="483">
                  <c:v>170779</c:v>
                </c:pt>
                <c:pt idx="484">
                  <c:v>73478</c:v>
                </c:pt>
                <c:pt idx="485">
                  <c:v>161022</c:v>
                </c:pt>
                <c:pt idx="486">
                  <c:v>55842</c:v>
                </c:pt>
                <c:pt idx="487">
                  <c:v>116914</c:v>
                </c:pt>
                <c:pt idx="488">
                  <c:v>52257</c:v>
                </c:pt>
                <c:pt idx="489">
                  <c:v>70808</c:v>
                </c:pt>
                <c:pt idx="490">
                  <c:v>107505</c:v>
                </c:pt>
                <c:pt idx="491">
                  <c:v>66923</c:v>
                </c:pt>
                <c:pt idx="492">
                  <c:v>76672</c:v>
                </c:pt>
                <c:pt idx="493">
                  <c:v>68199</c:v>
                </c:pt>
                <c:pt idx="494">
                  <c:v>74472</c:v>
                </c:pt>
                <c:pt idx="495">
                  <c:v>182473</c:v>
                </c:pt>
                <c:pt idx="496">
                  <c:v>193022</c:v>
                </c:pt>
                <c:pt idx="497">
                  <c:v>101374</c:v>
                </c:pt>
              </c:numCache>
            </c:numRef>
          </c:xVal>
          <c:yVal>
            <c:numRef>
              <c:f>Powerquery!$B$2:$B$499</c:f>
              <c:numCache>
                <c:formatCode>General</c:formatCode>
                <c:ptCount val="498"/>
                <c:pt idx="0">
                  <c:v>146163</c:v>
                </c:pt>
                <c:pt idx="1">
                  <c:v>108596</c:v>
                </c:pt>
                <c:pt idx="2">
                  <c:v>-18966</c:v>
                </c:pt>
                <c:pt idx="3">
                  <c:v>96612</c:v>
                </c:pt>
                <c:pt idx="4">
                  <c:v>69952</c:v>
                </c:pt>
                <c:pt idx="5">
                  <c:v>-17698</c:v>
                </c:pt>
                <c:pt idx="6">
                  <c:v>84665</c:v>
                </c:pt>
                <c:pt idx="7">
                  <c:v>-7100</c:v>
                </c:pt>
                <c:pt idx="8">
                  <c:v>44459</c:v>
                </c:pt>
                <c:pt idx="9">
                  <c:v>38947</c:v>
                </c:pt>
                <c:pt idx="10">
                  <c:v>141599</c:v>
                </c:pt>
                <c:pt idx="11">
                  <c:v>-20024</c:v>
                </c:pt>
                <c:pt idx="12">
                  <c:v>-7872</c:v>
                </c:pt>
                <c:pt idx="13">
                  <c:v>92237</c:v>
                </c:pt>
                <c:pt idx="14">
                  <c:v>93913</c:v>
                </c:pt>
                <c:pt idx="15">
                  <c:v>145142</c:v>
                </c:pt>
                <c:pt idx="16">
                  <c:v>177776</c:v>
                </c:pt>
                <c:pt idx="17">
                  <c:v>35747</c:v>
                </c:pt>
                <c:pt idx="18">
                  <c:v>80324</c:v>
                </c:pt>
                <c:pt idx="19">
                  <c:v>-26470</c:v>
                </c:pt>
                <c:pt idx="20">
                  <c:v>50398</c:v>
                </c:pt>
                <c:pt idx="21">
                  <c:v>77771</c:v>
                </c:pt>
                <c:pt idx="22">
                  <c:v>30203</c:v>
                </c:pt>
                <c:pt idx="23">
                  <c:v>54456</c:v>
                </c:pt>
                <c:pt idx="24">
                  <c:v>27415</c:v>
                </c:pt>
                <c:pt idx="25">
                  <c:v>65882</c:v>
                </c:pt>
                <c:pt idx="26">
                  <c:v>64550</c:v>
                </c:pt>
                <c:pt idx="27">
                  <c:v>146218</c:v>
                </c:pt>
                <c:pt idx="28">
                  <c:v>94347</c:v>
                </c:pt>
                <c:pt idx="29">
                  <c:v>5897</c:v>
                </c:pt>
                <c:pt idx="30">
                  <c:v>63343</c:v>
                </c:pt>
                <c:pt idx="31">
                  <c:v>129578</c:v>
                </c:pt>
                <c:pt idx="32">
                  <c:v>105307</c:v>
                </c:pt>
                <c:pt idx="33">
                  <c:v>131141</c:v>
                </c:pt>
                <c:pt idx="34">
                  <c:v>31077</c:v>
                </c:pt>
                <c:pt idx="35">
                  <c:v>3744</c:v>
                </c:pt>
                <c:pt idx="36">
                  <c:v>86857</c:v>
                </c:pt>
                <c:pt idx="37">
                  <c:v>163506</c:v>
                </c:pt>
                <c:pt idx="38">
                  <c:v>58488</c:v>
                </c:pt>
                <c:pt idx="39">
                  <c:v>115981</c:v>
                </c:pt>
                <c:pt idx="40">
                  <c:v>66207</c:v>
                </c:pt>
                <c:pt idx="41">
                  <c:v>130632</c:v>
                </c:pt>
                <c:pt idx="42">
                  <c:v>40973</c:v>
                </c:pt>
                <c:pt idx="43">
                  <c:v>86455</c:v>
                </c:pt>
                <c:pt idx="44">
                  <c:v>69380</c:v>
                </c:pt>
                <c:pt idx="45">
                  <c:v>98293</c:v>
                </c:pt>
                <c:pt idx="46">
                  <c:v>32057</c:v>
                </c:pt>
                <c:pt idx="47">
                  <c:v>72617</c:v>
                </c:pt>
                <c:pt idx="48">
                  <c:v>5712</c:v>
                </c:pt>
                <c:pt idx="49">
                  <c:v>90762</c:v>
                </c:pt>
                <c:pt idx="50">
                  <c:v>58945</c:v>
                </c:pt>
                <c:pt idx="51">
                  <c:v>54265</c:v>
                </c:pt>
                <c:pt idx="52">
                  <c:v>111941</c:v>
                </c:pt>
                <c:pt idx="53">
                  <c:v>119947</c:v>
                </c:pt>
                <c:pt idx="54">
                  <c:v>73214</c:v>
                </c:pt>
                <c:pt idx="55">
                  <c:v>96504</c:v>
                </c:pt>
                <c:pt idx="56">
                  <c:v>126621</c:v>
                </c:pt>
                <c:pt idx="57">
                  <c:v>105605</c:v>
                </c:pt>
                <c:pt idx="58">
                  <c:v>14513</c:v>
                </c:pt>
                <c:pt idx="59">
                  <c:v>93791</c:v>
                </c:pt>
                <c:pt idx="60">
                  <c:v>72079</c:v>
                </c:pt>
                <c:pt idx="61">
                  <c:v>48672</c:v>
                </c:pt>
                <c:pt idx="62">
                  <c:v>-5336</c:v>
                </c:pt>
                <c:pt idx="63">
                  <c:v>72435</c:v>
                </c:pt>
                <c:pt idx="64">
                  <c:v>70117</c:v>
                </c:pt>
                <c:pt idx="65">
                  <c:v>127680</c:v>
                </c:pt>
                <c:pt idx="66">
                  <c:v>110446</c:v>
                </c:pt>
                <c:pt idx="67">
                  <c:v>108946</c:v>
                </c:pt>
                <c:pt idx="68">
                  <c:v>77100</c:v>
                </c:pt>
                <c:pt idx="69">
                  <c:v>14047</c:v>
                </c:pt>
                <c:pt idx="70">
                  <c:v>69340</c:v>
                </c:pt>
                <c:pt idx="71">
                  <c:v>56665</c:v>
                </c:pt>
                <c:pt idx="72">
                  <c:v>87098</c:v>
                </c:pt>
                <c:pt idx="73">
                  <c:v>66280</c:v>
                </c:pt>
                <c:pt idx="74">
                  <c:v>47229</c:v>
                </c:pt>
                <c:pt idx="75">
                  <c:v>131665</c:v>
                </c:pt>
                <c:pt idx="76">
                  <c:v>102531</c:v>
                </c:pt>
                <c:pt idx="77">
                  <c:v>71301</c:v>
                </c:pt>
                <c:pt idx="78">
                  <c:v>19865</c:v>
                </c:pt>
                <c:pt idx="79">
                  <c:v>4372</c:v>
                </c:pt>
                <c:pt idx="80">
                  <c:v>136487</c:v>
                </c:pt>
                <c:pt idx="81">
                  <c:v>133585</c:v>
                </c:pt>
                <c:pt idx="82">
                  <c:v>133606</c:v>
                </c:pt>
                <c:pt idx="83">
                  <c:v>30694</c:v>
                </c:pt>
                <c:pt idx="84">
                  <c:v>30369</c:v>
                </c:pt>
                <c:pt idx="85">
                  <c:v>54061</c:v>
                </c:pt>
                <c:pt idx="86">
                  <c:v>36203</c:v>
                </c:pt>
                <c:pt idx="87">
                  <c:v>167211</c:v>
                </c:pt>
                <c:pt idx="88">
                  <c:v>24898</c:v>
                </c:pt>
                <c:pt idx="89">
                  <c:v>24676</c:v>
                </c:pt>
                <c:pt idx="90">
                  <c:v>109475</c:v>
                </c:pt>
                <c:pt idx="91">
                  <c:v>103928</c:v>
                </c:pt>
                <c:pt idx="92">
                  <c:v>74101</c:v>
                </c:pt>
                <c:pt idx="93">
                  <c:v>430</c:v>
                </c:pt>
                <c:pt idx="94">
                  <c:v>171052</c:v>
                </c:pt>
                <c:pt idx="95">
                  <c:v>70030</c:v>
                </c:pt>
                <c:pt idx="96">
                  <c:v>128131</c:v>
                </c:pt>
                <c:pt idx="97">
                  <c:v>75142</c:v>
                </c:pt>
                <c:pt idx="98">
                  <c:v>68948</c:v>
                </c:pt>
                <c:pt idx="99">
                  <c:v>34187</c:v>
                </c:pt>
                <c:pt idx="100">
                  <c:v>39440</c:v>
                </c:pt>
                <c:pt idx="101">
                  <c:v>34188</c:v>
                </c:pt>
                <c:pt idx="102">
                  <c:v>88452</c:v>
                </c:pt>
                <c:pt idx="103">
                  <c:v>36613</c:v>
                </c:pt>
                <c:pt idx="104">
                  <c:v>43277</c:v>
                </c:pt>
                <c:pt idx="105">
                  <c:v>-24267</c:v>
                </c:pt>
                <c:pt idx="106">
                  <c:v>164002</c:v>
                </c:pt>
                <c:pt idx="107">
                  <c:v>5828</c:v>
                </c:pt>
                <c:pt idx="108">
                  <c:v>57418</c:v>
                </c:pt>
                <c:pt idx="109">
                  <c:v>79503</c:v>
                </c:pt>
                <c:pt idx="110">
                  <c:v>128804</c:v>
                </c:pt>
                <c:pt idx="111">
                  <c:v>106035</c:v>
                </c:pt>
                <c:pt idx="112">
                  <c:v>90126</c:v>
                </c:pt>
                <c:pt idx="113">
                  <c:v>1038</c:v>
                </c:pt>
                <c:pt idx="114">
                  <c:v>171076</c:v>
                </c:pt>
                <c:pt idx="115">
                  <c:v>123359</c:v>
                </c:pt>
                <c:pt idx="116">
                  <c:v>180277</c:v>
                </c:pt>
                <c:pt idx="117">
                  <c:v>140996</c:v>
                </c:pt>
                <c:pt idx="118">
                  <c:v>137315</c:v>
                </c:pt>
                <c:pt idx="119">
                  <c:v>97989</c:v>
                </c:pt>
                <c:pt idx="120">
                  <c:v>53918</c:v>
                </c:pt>
                <c:pt idx="121">
                  <c:v>128863</c:v>
                </c:pt>
                <c:pt idx="122">
                  <c:v>102207</c:v>
                </c:pt>
                <c:pt idx="123">
                  <c:v>35213</c:v>
                </c:pt>
                <c:pt idx="124">
                  <c:v>157955</c:v>
                </c:pt>
                <c:pt idx="125">
                  <c:v>80045</c:v>
                </c:pt>
                <c:pt idx="126">
                  <c:v>99950</c:v>
                </c:pt>
                <c:pt idx="127">
                  <c:v>24892</c:v>
                </c:pt>
                <c:pt idx="128">
                  <c:v>178718</c:v>
                </c:pt>
                <c:pt idx="129">
                  <c:v>129656</c:v>
                </c:pt>
                <c:pt idx="130">
                  <c:v>134069</c:v>
                </c:pt>
                <c:pt idx="131">
                  <c:v>119140</c:v>
                </c:pt>
                <c:pt idx="132">
                  <c:v>68073</c:v>
                </c:pt>
                <c:pt idx="133">
                  <c:v>24096</c:v>
                </c:pt>
                <c:pt idx="134">
                  <c:v>124400</c:v>
                </c:pt>
                <c:pt idx="135">
                  <c:v>152998</c:v>
                </c:pt>
                <c:pt idx="136">
                  <c:v>112127</c:v>
                </c:pt>
                <c:pt idx="137">
                  <c:v>55607</c:v>
                </c:pt>
                <c:pt idx="138">
                  <c:v>69818</c:v>
                </c:pt>
                <c:pt idx="139">
                  <c:v>31017</c:v>
                </c:pt>
                <c:pt idx="140">
                  <c:v>60528</c:v>
                </c:pt>
                <c:pt idx="141">
                  <c:v>147884</c:v>
                </c:pt>
                <c:pt idx="142">
                  <c:v>103326</c:v>
                </c:pt>
                <c:pt idx="143">
                  <c:v>156147</c:v>
                </c:pt>
                <c:pt idx="144">
                  <c:v>12575</c:v>
                </c:pt>
                <c:pt idx="145">
                  <c:v>2322</c:v>
                </c:pt>
                <c:pt idx="146">
                  <c:v>52444</c:v>
                </c:pt>
                <c:pt idx="147">
                  <c:v>86985</c:v>
                </c:pt>
                <c:pt idx="148">
                  <c:v>58321</c:v>
                </c:pt>
                <c:pt idx="149">
                  <c:v>171579</c:v>
                </c:pt>
                <c:pt idx="150">
                  <c:v>14388</c:v>
                </c:pt>
                <c:pt idx="151">
                  <c:v>25660</c:v>
                </c:pt>
                <c:pt idx="152">
                  <c:v>64317</c:v>
                </c:pt>
                <c:pt idx="153">
                  <c:v>115165</c:v>
                </c:pt>
                <c:pt idx="154">
                  <c:v>129892</c:v>
                </c:pt>
                <c:pt idx="155">
                  <c:v>111948</c:v>
                </c:pt>
                <c:pt idx="156">
                  <c:v>139717</c:v>
                </c:pt>
                <c:pt idx="157">
                  <c:v>80145</c:v>
                </c:pt>
                <c:pt idx="158">
                  <c:v>118423</c:v>
                </c:pt>
                <c:pt idx="159">
                  <c:v>7448</c:v>
                </c:pt>
                <c:pt idx="160">
                  <c:v>60666</c:v>
                </c:pt>
                <c:pt idx="161">
                  <c:v>112283</c:v>
                </c:pt>
                <c:pt idx="162">
                  <c:v>28393</c:v>
                </c:pt>
                <c:pt idx="163">
                  <c:v>150160</c:v>
                </c:pt>
                <c:pt idx="164">
                  <c:v>120318</c:v>
                </c:pt>
                <c:pt idx="165">
                  <c:v>160384</c:v>
                </c:pt>
                <c:pt idx="166">
                  <c:v>92494</c:v>
                </c:pt>
                <c:pt idx="167">
                  <c:v>78834</c:v>
                </c:pt>
                <c:pt idx="168">
                  <c:v>39828</c:v>
                </c:pt>
                <c:pt idx="169">
                  <c:v>160207</c:v>
                </c:pt>
                <c:pt idx="170">
                  <c:v>91780</c:v>
                </c:pt>
                <c:pt idx="171">
                  <c:v>146999</c:v>
                </c:pt>
                <c:pt idx="172">
                  <c:v>102662</c:v>
                </c:pt>
                <c:pt idx="173">
                  <c:v>44490</c:v>
                </c:pt>
                <c:pt idx="174">
                  <c:v>23061</c:v>
                </c:pt>
                <c:pt idx="175">
                  <c:v>174810</c:v>
                </c:pt>
                <c:pt idx="176">
                  <c:v>157548</c:v>
                </c:pt>
                <c:pt idx="177">
                  <c:v>68222</c:v>
                </c:pt>
                <c:pt idx="178">
                  <c:v>37530</c:v>
                </c:pt>
                <c:pt idx="179">
                  <c:v>19274</c:v>
                </c:pt>
                <c:pt idx="180">
                  <c:v>131466</c:v>
                </c:pt>
                <c:pt idx="181">
                  <c:v>131207</c:v>
                </c:pt>
                <c:pt idx="182">
                  <c:v>47930</c:v>
                </c:pt>
                <c:pt idx="183">
                  <c:v>-5698</c:v>
                </c:pt>
                <c:pt idx="184">
                  <c:v>141747</c:v>
                </c:pt>
                <c:pt idx="185">
                  <c:v>53775</c:v>
                </c:pt>
                <c:pt idx="186">
                  <c:v>153393</c:v>
                </c:pt>
                <c:pt idx="187">
                  <c:v>29927</c:v>
                </c:pt>
                <c:pt idx="188">
                  <c:v>66880</c:v>
                </c:pt>
                <c:pt idx="189">
                  <c:v>115645</c:v>
                </c:pt>
                <c:pt idx="190">
                  <c:v>39729</c:v>
                </c:pt>
                <c:pt idx="191">
                  <c:v>61144</c:v>
                </c:pt>
                <c:pt idx="192">
                  <c:v>37612</c:v>
                </c:pt>
                <c:pt idx="193">
                  <c:v>132565</c:v>
                </c:pt>
                <c:pt idx="194">
                  <c:v>107705</c:v>
                </c:pt>
                <c:pt idx="195">
                  <c:v>58224</c:v>
                </c:pt>
                <c:pt idx="196">
                  <c:v>17090</c:v>
                </c:pt>
                <c:pt idx="197">
                  <c:v>129577</c:v>
                </c:pt>
                <c:pt idx="198">
                  <c:v>59662</c:v>
                </c:pt>
                <c:pt idx="199">
                  <c:v>128277</c:v>
                </c:pt>
                <c:pt idx="200">
                  <c:v>40784</c:v>
                </c:pt>
                <c:pt idx="201">
                  <c:v>18482</c:v>
                </c:pt>
                <c:pt idx="202">
                  <c:v>46010</c:v>
                </c:pt>
                <c:pt idx="203">
                  <c:v>133171</c:v>
                </c:pt>
                <c:pt idx="204">
                  <c:v>152609</c:v>
                </c:pt>
                <c:pt idx="205">
                  <c:v>104405</c:v>
                </c:pt>
                <c:pt idx="206">
                  <c:v>112098</c:v>
                </c:pt>
                <c:pt idx="207">
                  <c:v>106805</c:v>
                </c:pt>
                <c:pt idx="208">
                  <c:v>130957</c:v>
                </c:pt>
                <c:pt idx="209">
                  <c:v>63747</c:v>
                </c:pt>
                <c:pt idx="210">
                  <c:v>48746</c:v>
                </c:pt>
                <c:pt idx="211">
                  <c:v>7723</c:v>
                </c:pt>
                <c:pt idx="212">
                  <c:v>123107</c:v>
                </c:pt>
                <c:pt idx="213">
                  <c:v>148462</c:v>
                </c:pt>
                <c:pt idx="214">
                  <c:v>-6936</c:v>
                </c:pt>
                <c:pt idx="215">
                  <c:v>96048</c:v>
                </c:pt>
                <c:pt idx="216">
                  <c:v>106024</c:v>
                </c:pt>
                <c:pt idx="217">
                  <c:v>149107</c:v>
                </c:pt>
                <c:pt idx="218">
                  <c:v>98450</c:v>
                </c:pt>
                <c:pt idx="219">
                  <c:v>9112</c:v>
                </c:pt>
                <c:pt idx="220">
                  <c:v>25485</c:v>
                </c:pt>
                <c:pt idx="221">
                  <c:v>124762</c:v>
                </c:pt>
                <c:pt idx="222">
                  <c:v>28227</c:v>
                </c:pt>
                <c:pt idx="223">
                  <c:v>149896</c:v>
                </c:pt>
                <c:pt idx="224">
                  <c:v>94846</c:v>
                </c:pt>
                <c:pt idx="225">
                  <c:v>131868</c:v>
                </c:pt>
                <c:pt idx="226">
                  <c:v>76301</c:v>
                </c:pt>
                <c:pt idx="227">
                  <c:v>164640</c:v>
                </c:pt>
                <c:pt idx="228">
                  <c:v>115882</c:v>
                </c:pt>
                <c:pt idx="229">
                  <c:v>120518</c:v>
                </c:pt>
                <c:pt idx="230">
                  <c:v>20157</c:v>
                </c:pt>
                <c:pt idx="231">
                  <c:v>113547</c:v>
                </c:pt>
                <c:pt idx="232">
                  <c:v>92010</c:v>
                </c:pt>
                <c:pt idx="233">
                  <c:v>107356</c:v>
                </c:pt>
                <c:pt idx="234">
                  <c:v>22284</c:v>
                </c:pt>
                <c:pt idx="235">
                  <c:v>146982</c:v>
                </c:pt>
                <c:pt idx="236">
                  <c:v>148778</c:v>
                </c:pt>
                <c:pt idx="237">
                  <c:v>72076</c:v>
                </c:pt>
                <c:pt idx="238">
                  <c:v>82372</c:v>
                </c:pt>
                <c:pt idx="239">
                  <c:v>102389</c:v>
                </c:pt>
                <c:pt idx="240">
                  <c:v>111050</c:v>
                </c:pt>
                <c:pt idx="241">
                  <c:v>112398</c:v>
                </c:pt>
                <c:pt idx="242">
                  <c:v>-17395</c:v>
                </c:pt>
                <c:pt idx="243">
                  <c:v>65203</c:v>
                </c:pt>
                <c:pt idx="244">
                  <c:v>26520</c:v>
                </c:pt>
                <c:pt idx="245">
                  <c:v>86250</c:v>
                </c:pt>
                <c:pt idx="246">
                  <c:v>20667</c:v>
                </c:pt>
                <c:pt idx="247">
                  <c:v>78288</c:v>
                </c:pt>
                <c:pt idx="248">
                  <c:v>79244</c:v>
                </c:pt>
                <c:pt idx="249">
                  <c:v>101013</c:v>
                </c:pt>
                <c:pt idx="250">
                  <c:v>42975</c:v>
                </c:pt>
                <c:pt idx="251">
                  <c:v>105921</c:v>
                </c:pt>
                <c:pt idx="252">
                  <c:v>140769</c:v>
                </c:pt>
                <c:pt idx="253">
                  <c:v>75689</c:v>
                </c:pt>
                <c:pt idx="254">
                  <c:v>23692</c:v>
                </c:pt>
                <c:pt idx="255">
                  <c:v>54370</c:v>
                </c:pt>
                <c:pt idx="256">
                  <c:v>143726</c:v>
                </c:pt>
                <c:pt idx="257">
                  <c:v>106650</c:v>
                </c:pt>
                <c:pt idx="258">
                  <c:v>171140</c:v>
                </c:pt>
                <c:pt idx="259">
                  <c:v>30355</c:v>
                </c:pt>
                <c:pt idx="260">
                  <c:v>151638</c:v>
                </c:pt>
                <c:pt idx="261">
                  <c:v>40906</c:v>
                </c:pt>
                <c:pt idx="262">
                  <c:v>100310</c:v>
                </c:pt>
                <c:pt idx="263">
                  <c:v>17221</c:v>
                </c:pt>
                <c:pt idx="264">
                  <c:v>126322</c:v>
                </c:pt>
                <c:pt idx="265">
                  <c:v>92492</c:v>
                </c:pt>
                <c:pt idx="266">
                  <c:v>50895</c:v>
                </c:pt>
                <c:pt idx="267">
                  <c:v>79812</c:v>
                </c:pt>
                <c:pt idx="268">
                  <c:v>44319</c:v>
                </c:pt>
                <c:pt idx="269">
                  <c:v>42925</c:v>
                </c:pt>
                <c:pt idx="270">
                  <c:v>6616</c:v>
                </c:pt>
                <c:pt idx="271">
                  <c:v>81995</c:v>
                </c:pt>
                <c:pt idx="272">
                  <c:v>60366</c:v>
                </c:pt>
                <c:pt idx="273">
                  <c:v>87853</c:v>
                </c:pt>
                <c:pt idx="274">
                  <c:v>80401</c:v>
                </c:pt>
                <c:pt idx="275">
                  <c:v>107308</c:v>
                </c:pt>
                <c:pt idx="276">
                  <c:v>82226</c:v>
                </c:pt>
                <c:pt idx="277">
                  <c:v>10375</c:v>
                </c:pt>
                <c:pt idx="278">
                  <c:v>135822</c:v>
                </c:pt>
                <c:pt idx="279">
                  <c:v>62775</c:v>
                </c:pt>
                <c:pt idx="280">
                  <c:v>45983</c:v>
                </c:pt>
                <c:pt idx="281">
                  <c:v>146389</c:v>
                </c:pt>
                <c:pt idx="282">
                  <c:v>103382</c:v>
                </c:pt>
                <c:pt idx="283">
                  <c:v>48843</c:v>
                </c:pt>
                <c:pt idx="284">
                  <c:v>29694</c:v>
                </c:pt>
                <c:pt idx="285">
                  <c:v>136734</c:v>
                </c:pt>
                <c:pt idx="286">
                  <c:v>47925</c:v>
                </c:pt>
                <c:pt idx="287">
                  <c:v>109154</c:v>
                </c:pt>
                <c:pt idx="288">
                  <c:v>108820</c:v>
                </c:pt>
                <c:pt idx="289">
                  <c:v>136882</c:v>
                </c:pt>
                <c:pt idx="290">
                  <c:v>-18384</c:v>
                </c:pt>
                <c:pt idx="291">
                  <c:v>96363</c:v>
                </c:pt>
                <c:pt idx="292">
                  <c:v>125904</c:v>
                </c:pt>
                <c:pt idx="293">
                  <c:v>125057</c:v>
                </c:pt>
                <c:pt idx="294">
                  <c:v>-14362</c:v>
                </c:pt>
                <c:pt idx="295">
                  <c:v>128896</c:v>
                </c:pt>
                <c:pt idx="296">
                  <c:v>22038</c:v>
                </c:pt>
                <c:pt idx="297">
                  <c:v>89600</c:v>
                </c:pt>
                <c:pt idx="298">
                  <c:v>50843</c:v>
                </c:pt>
                <c:pt idx="299">
                  <c:v>127794</c:v>
                </c:pt>
                <c:pt idx="300">
                  <c:v>112988</c:v>
                </c:pt>
                <c:pt idx="301">
                  <c:v>33370</c:v>
                </c:pt>
                <c:pt idx="302">
                  <c:v>13229</c:v>
                </c:pt>
                <c:pt idx="303">
                  <c:v>40427</c:v>
                </c:pt>
                <c:pt idx="304">
                  <c:v>138848</c:v>
                </c:pt>
                <c:pt idx="305">
                  <c:v>59837</c:v>
                </c:pt>
                <c:pt idx="306">
                  <c:v>37009</c:v>
                </c:pt>
                <c:pt idx="307">
                  <c:v>134831</c:v>
                </c:pt>
                <c:pt idx="308">
                  <c:v>59067</c:v>
                </c:pt>
                <c:pt idx="309">
                  <c:v>71511</c:v>
                </c:pt>
                <c:pt idx="310">
                  <c:v>126312</c:v>
                </c:pt>
                <c:pt idx="311">
                  <c:v>87875</c:v>
                </c:pt>
                <c:pt idx="312">
                  <c:v>47121</c:v>
                </c:pt>
                <c:pt idx="313">
                  <c:v>23371</c:v>
                </c:pt>
                <c:pt idx="314">
                  <c:v>171580</c:v>
                </c:pt>
                <c:pt idx="315">
                  <c:v>33120</c:v>
                </c:pt>
                <c:pt idx="316">
                  <c:v>44126</c:v>
                </c:pt>
                <c:pt idx="317">
                  <c:v>104008</c:v>
                </c:pt>
                <c:pt idx="318">
                  <c:v>79935</c:v>
                </c:pt>
                <c:pt idx="319">
                  <c:v>110072</c:v>
                </c:pt>
                <c:pt idx="320">
                  <c:v>67927</c:v>
                </c:pt>
                <c:pt idx="321">
                  <c:v>48808</c:v>
                </c:pt>
                <c:pt idx="322">
                  <c:v>67306</c:v>
                </c:pt>
                <c:pt idx="323">
                  <c:v>83483</c:v>
                </c:pt>
                <c:pt idx="324">
                  <c:v>101399</c:v>
                </c:pt>
                <c:pt idx="325">
                  <c:v>160864</c:v>
                </c:pt>
                <c:pt idx="326">
                  <c:v>127639</c:v>
                </c:pt>
                <c:pt idx="327">
                  <c:v>151862</c:v>
                </c:pt>
                <c:pt idx="328">
                  <c:v>119295</c:v>
                </c:pt>
                <c:pt idx="329">
                  <c:v>-2612</c:v>
                </c:pt>
                <c:pt idx="330">
                  <c:v>77591</c:v>
                </c:pt>
                <c:pt idx="331">
                  <c:v>24621</c:v>
                </c:pt>
                <c:pt idx="332">
                  <c:v>159242</c:v>
                </c:pt>
                <c:pt idx="333">
                  <c:v>86953</c:v>
                </c:pt>
                <c:pt idx="334">
                  <c:v>112456</c:v>
                </c:pt>
                <c:pt idx="335">
                  <c:v>127702</c:v>
                </c:pt>
                <c:pt idx="336">
                  <c:v>112400</c:v>
                </c:pt>
                <c:pt idx="337">
                  <c:v>30828</c:v>
                </c:pt>
                <c:pt idx="338">
                  <c:v>39812</c:v>
                </c:pt>
                <c:pt idx="339">
                  <c:v>167502</c:v>
                </c:pt>
                <c:pt idx="340">
                  <c:v>45481</c:v>
                </c:pt>
                <c:pt idx="341">
                  <c:v>67025</c:v>
                </c:pt>
                <c:pt idx="342">
                  <c:v>85209</c:v>
                </c:pt>
                <c:pt idx="343">
                  <c:v>146026</c:v>
                </c:pt>
                <c:pt idx="344">
                  <c:v>64993</c:v>
                </c:pt>
                <c:pt idx="345">
                  <c:v>113021</c:v>
                </c:pt>
                <c:pt idx="346">
                  <c:v>111422</c:v>
                </c:pt>
                <c:pt idx="347">
                  <c:v>126787</c:v>
                </c:pt>
                <c:pt idx="348">
                  <c:v>138291</c:v>
                </c:pt>
                <c:pt idx="349">
                  <c:v>89668</c:v>
                </c:pt>
                <c:pt idx="350">
                  <c:v>68414</c:v>
                </c:pt>
                <c:pt idx="351">
                  <c:v>9494</c:v>
                </c:pt>
                <c:pt idx="352">
                  <c:v>62598</c:v>
                </c:pt>
                <c:pt idx="353">
                  <c:v>99679</c:v>
                </c:pt>
                <c:pt idx="354">
                  <c:v>58192</c:v>
                </c:pt>
                <c:pt idx="355">
                  <c:v>66627</c:v>
                </c:pt>
                <c:pt idx="356">
                  <c:v>32630</c:v>
                </c:pt>
                <c:pt idx="357">
                  <c:v>1954</c:v>
                </c:pt>
                <c:pt idx="358">
                  <c:v>94813</c:v>
                </c:pt>
                <c:pt idx="359">
                  <c:v>122698</c:v>
                </c:pt>
                <c:pt idx="360">
                  <c:v>154827</c:v>
                </c:pt>
                <c:pt idx="361">
                  <c:v>49538</c:v>
                </c:pt>
                <c:pt idx="362">
                  <c:v>56821</c:v>
                </c:pt>
                <c:pt idx="363">
                  <c:v>123016</c:v>
                </c:pt>
                <c:pt idx="364">
                  <c:v>138030</c:v>
                </c:pt>
                <c:pt idx="365">
                  <c:v>76453</c:v>
                </c:pt>
                <c:pt idx="366">
                  <c:v>139665</c:v>
                </c:pt>
                <c:pt idx="367">
                  <c:v>41279</c:v>
                </c:pt>
                <c:pt idx="368">
                  <c:v>161589</c:v>
                </c:pt>
                <c:pt idx="369">
                  <c:v>38959</c:v>
                </c:pt>
                <c:pt idx="370">
                  <c:v>57110</c:v>
                </c:pt>
                <c:pt idx="371">
                  <c:v>11714</c:v>
                </c:pt>
                <c:pt idx="372">
                  <c:v>61239</c:v>
                </c:pt>
                <c:pt idx="373">
                  <c:v>43040</c:v>
                </c:pt>
                <c:pt idx="374">
                  <c:v>56745</c:v>
                </c:pt>
                <c:pt idx="375">
                  <c:v>47629</c:v>
                </c:pt>
                <c:pt idx="376">
                  <c:v>120021</c:v>
                </c:pt>
                <c:pt idx="377">
                  <c:v>163922</c:v>
                </c:pt>
                <c:pt idx="378">
                  <c:v>28334</c:v>
                </c:pt>
                <c:pt idx="379">
                  <c:v>33211</c:v>
                </c:pt>
                <c:pt idx="380">
                  <c:v>-2913</c:v>
                </c:pt>
                <c:pt idx="381">
                  <c:v>112622</c:v>
                </c:pt>
                <c:pt idx="382">
                  <c:v>171601</c:v>
                </c:pt>
                <c:pt idx="383">
                  <c:v>71020</c:v>
                </c:pt>
                <c:pt idx="384">
                  <c:v>35414</c:v>
                </c:pt>
                <c:pt idx="385">
                  <c:v>100116</c:v>
                </c:pt>
                <c:pt idx="386">
                  <c:v>158755</c:v>
                </c:pt>
                <c:pt idx="387">
                  <c:v>69250</c:v>
                </c:pt>
                <c:pt idx="388">
                  <c:v>7592</c:v>
                </c:pt>
                <c:pt idx="389">
                  <c:v>169324</c:v>
                </c:pt>
                <c:pt idx="390">
                  <c:v>57958</c:v>
                </c:pt>
                <c:pt idx="391">
                  <c:v>140787</c:v>
                </c:pt>
                <c:pt idx="392">
                  <c:v>37427</c:v>
                </c:pt>
                <c:pt idx="393">
                  <c:v>73499</c:v>
                </c:pt>
                <c:pt idx="394">
                  <c:v>155293</c:v>
                </c:pt>
                <c:pt idx="395">
                  <c:v>121573</c:v>
                </c:pt>
                <c:pt idx="396">
                  <c:v>168206</c:v>
                </c:pt>
                <c:pt idx="397">
                  <c:v>68947</c:v>
                </c:pt>
                <c:pt idx="398">
                  <c:v>64682</c:v>
                </c:pt>
                <c:pt idx="399">
                  <c:v>141690</c:v>
                </c:pt>
                <c:pt idx="400">
                  <c:v>87757</c:v>
                </c:pt>
                <c:pt idx="401">
                  <c:v>103915</c:v>
                </c:pt>
                <c:pt idx="402">
                  <c:v>107992</c:v>
                </c:pt>
                <c:pt idx="403">
                  <c:v>30099</c:v>
                </c:pt>
                <c:pt idx="404">
                  <c:v>20609</c:v>
                </c:pt>
                <c:pt idx="405">
                  <c:v>-3379</c:v>
                </c:pt>
                <c:pt idx="406">
                  <c:v>82698</c:v>
                </c:pt>
                <c:pt idx="407">
                  <c:v>34035</c:v>
                </c:pt>
                <c:pt idx="408">
                  <c:v>75493</c:v>
                </c:pt>
                <c:pt idx="409">
                  <c:v>-20</c:v>
                </c:pt>
                <c:pt idx="410">
                  <c:v>81746</c:v>
                </c:pt>
                <c:pt idx="411">
                  <c:v>86186</c:v>
                </c:pt>
                <c:pt idx="412">
                  <c:v>-11292</c:v>
                </c:pt>
                <c:pt idx="413">
                  <c:v>67697</c:v>
                </c:pt>
                <c:pt idx="414">
                  <c:v>52082</c:v>
                </c:pt>
                <c:pt idx="415">
                  <c:v>145579</c:v>
                </c:pt>
                <c:pt idx="416">
                  <c:v>153696</c:v>
                </c:pt>
                <c:pt idx="417">
                  <c:v>77936</c:v>
                </c:pt>
                <c:pt idx="418">
                  <c:v>134867</c:v>
                </c:pt>
                <c:pt idx="419">
                  <c:v>129664</c:v>
                </c:pt>
                <c:pt idx="420">
                  <c:v>51189</c:v>
                </c:pt>
                <c:pt idx="421">
                  <c:v>119314</c:v>
                </c:pt>
                <c:pt idx="422">
                  <c:v>54381</c:v>
                </c:pt>
                <c:pt idx="423">
                  <c:v>31032</c:v>
                </c:pt>
                <c:pt idx="424">
                  <c:v>100168</c:v>
                </c:pt>
                <c:pt idx="425">
                  <c:v>57931</c:v>
                </c:pt>
                <c:pt idx="426">
                  <c:v>137010</c:v>
                </c:pt>
                <c:pt idx="427">
                  <c:v>152642</c:v>
                </c:pt>
                <c:pt idx="428">
                  <c:v>18749</c:v>
                </c:pt>
                <c:pt idx="429">
                  <c:v>125397</c:v>
                </c:pt>
                <c:pt idx="430">
                  <c:v>74471</c:v>
                </c:pt>
                <c:pt idx="431">
                  <c:v>52717</c:v>
                </c:pt>
                <c:pt idx="432">
                  <c:v>154318</c:v>
                </c:pt>
                <c:pt idx="433">
                  <c:v>75829</c:v>
                </c:pt>
                <c:pt idx="434">
                  <c:v>108423</c:v>
                </c:pt>
                <c:pt idx="435">
                  <c:v>152318</c:v>
                </c:pt>
                <c:pt idx="436">
                  <c:v>90698</c:v>
                </c:pt>
                <c:pt idx="437">
                  <c:v>25642</c:v>
                </c:pt>
                <c:pt idx="438">
                  <c:v>77821</c:v>
                </c:pt>
                <c:pt idx="439">
                  <c:v>110391</c:v>
                </c:pt>
                <c:pt idx="440">
                  <c:v>63082</c:v>
                </c:pt>
                <c:pt idx="441">
                  <c:v>42353</c:v>
                </c:pt>
                <c:pt idx="442">
                  <c:v>117602</c:v>
                </c:pt>
                <c:pt idx="443">
                  <c:v>62560</c:v>
                </c:pt>
                <c:pt idx="444">
                  <c:v>128233</c:v>
                </c:pt>
                <c:pt idx="445">
                  <c:v>151189</c:v>
                </c:pt>
                <c:pt idx="446">
                  <c:v>158616</c:v>
                </c:pt>
                <c:pt idx="447">
                  <c:v>122943</c:v>
                </c:pt>
                <c:pt idx="448">
                  <c:v>43058</c:v>
                </c:pt>
                <c:pt idx="449">
                  <c:v>109178</c:v>
                </c:pt>
                <c:pt idx="450">
                  <c:v>39780</c:v>
                </c:pt>
                <c:pt idx="451">
                  <c:v>34125</c:v>
                </c:pt>
                <c:pt idx="452">
                  <c:v>3050</c:v>
                </c:pt>
                <c:pt idx="453">
                  <c:v>59646</c:v>
                </c:pt>
                <c:pt idx="454">
                  <c:v>93046</c:v>
                </c:pt>
                <c:pt idx="455">
                  <c:v>87713</c:v>
                </c:pt>
                <c:pt idx="456">
                  <c:v>126180</c:v>
                </c:pt>
                <c:pt idx="457">
                  <c:v>46407</c:v>
                </c:pt>
                <c:pt idx="458">
                  <c:v>87279</c:v>
                </c:pt>
                <c:pt idx="459">
                  <c:v>36164</c:v>
                </c:pt>
                <c:pt idx="460">
                  <c:v>116982</c:v>
                </c:pt>
                <c:pt idx="461">
                  <c:v>101729</c:v>
                </c:pt>
                <c:pt idx="462">
                  <c:v>13169</c:v>
                </c:pt>
                <c:pt idx="463">
                  <c:v>140243</c:v>
                </c:pt>
                <c:pt idx="464">
                  <c:v>43040</c:v>
                </c:pt>
                <c:pt idx="465">
                  <c:v>87785</c:v>
                </c:pt>
                <c:pt idx="466">
                  <c:v>138109</c:v>
                </c:pt>
                <c:pt idx="467">
                  <c:v>126621</c:v>
                </c:pt>
                <c:pt idx="468">
                  <c:v>95783</c:v>
                </c:pt>
                <c:pt idx="469">
                  <c:v>35488</c:v>
                </c:pt>
                <c:pt idx="470">
                  <c:v>2265</c:v>
                </c:pt>
                <c:pt idx="471">
                  <c:v>104949</c:v>
                </c:pt>
                <c:pt idx="472">
                  <c:v>135577</c:v>
                </c:pt>
                <c:pt idx="473">
                  <c:v>164491</c:v>
                </c:pt>
                <c:pt idx="474">
                  <c:v>133434</c:v>
                </c:pt>
                <c:pt idx="475">
                  <c:v>127982</c:v>
                </c:pt>
                <c:pt idx="476">
                  <c:v>139263</c:v>
                </c:pt>
                <c:pt idx="477">
                  <c:v>55055</c:v>
                </c:pt>
                <c:pt idx="478">
                  <c:v>79138</c:v>
                </c:pt>
                <c:pt idx="479">
                  <c:v>97184</c:v>
                </c:pt>
                <c:pt idx="480">
                  <c:v>44390</c:v>
                </c:pt>
                <c:pt idx="481">
                  <c:v>53476</c:v>
                </c:pt>
                <c:pt idx="482">
                  <c:v>144133</c:v>
                </c:pt>
                <c:pt idx="483">
                  <c:v>128338</c:v>
                </c:pt>
                <c:pt idx="484">
                  <c:v>51298</c:v>
                </c:pt>
                <c:pt idx="485">
                  <c:v>96982</c:v>
                </c:pt>
                <c:pt idx="486">
                  <c:v>-17273</c:v>
                </c:pt>
                <c:pt idx="487">
                  <c:v>39859</c:v>
                </c:pt>
                <c:pt idx="488">
                  <c:v>14893</c:v>
                </c:pt>
                <c:pt idx="489">
                  <c:v>8419</c:v>
                </c:pt>
                <c:pt idx="490">
                  <c:v>79370</c:v>
                </c:pt>
                <c:pt idx="491">
                  <c:v>9332</c:v>
                </c:pt>
                <c:pt idx="492">
                  <c:v>62459</c:v>
                </c:pt>
                <c:pt idx="493">
                  <c:v>21590</c:v>
                </c:pt>
                <c:pt idx="494">
                  <c:v>12659</c:v>
                </c:pt>
                <c:pt idx="495">
                  <c:v>157280</c:v>
                </c:pt>
                <c:pt idx="496">
                  <c:v>180277</c:v>
                </c:pt>
                <c:pt idx="497">
                  <c:v>61258</c:v>
                </c:pt>
              </c:numCache>
            </c:numRef>
          </c:yVal>
          <c:smooth val="0"/>
          <c:extLst>
            <c:ext xmlns:c16="http://schemas.microsoft.com/office/drawing/2014/chart" uri="{C3380CC4-5D6E-409C-BE32-E72D297353CC}">
              <c16:uniqueId val="{00000000-0D06-4442-81A8-009503256D7D}"/>
            </c:ext>
          </c:extLst>
        </c:ser>
        <c:dLbls>
          <c:showLegendKey val="0"/>
          <c:showVal val="0"/>
          <c:showCatName val="0"/>
          <c:showSerName val="0"/>
          <c:showPercent val="0"/>
          <c:showBubbleSize val="0"/>
        </c:dLbls>
        <c:axId val="1496861279"/>
        <c:axId val="1496860319"/>
      </c:scatterChart>
      <c:valAx>
        <c:axId val="1496861279"/>
        <c:scaling>
          <c:orientation val="minMax"/>
          <c:min val="50000"/>
        </c:scaling>
        <c:delete val="0"/>
        <c:axPos val="b"/>
        <c:numFmt formatCode="_-[$£-809]* #,##0_-;\-[$£-809]* #,##0_-;_-[$£-809]* &quot;-&quot;_-;_-@_-"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6860319"/>
        <c:crosses val="autoZero"/>
        <c:crossBetween val="midCat"/>
      </c:valAx>
      <c:valAx>
        <c:axId val="1496860319"/>
        <c:scaling>
          <c:orientation val="minMax"/>
        </c:scaling>
        <c:delete val="0"/>
        <c:axPos val="l"/>
        <c:numFmt formatCode="_-[$£-809]* #,##0_-;\-[$£-809]* #,##0_-;_-[$£-809]*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6861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Operating Expenses VS Profit After Tax (PAT)</a:t>
            </a:r>
            <a:r>
              <a:rPr lang="en-US" b="1" baseline="0">
                <a:solidFill>
                  <a:sysClr val="windowText" lastClr="000000"/>
                </a:solidFill>
              </a:rPr>
              <a:t> </a:t>
            </a:r>
            <a:endParaRPr lang="en-US" b="1">
              <a:solidFill>
                <a:sysClr val="windowText" lastClr="000000"/>
              </a:solidFill>
            </a:endParaRP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Powerquery!$F$1</c:f>
              <c:strCache>
                <c:ptCount val="1"/>
                <c:pt idx="0">
                  <c:v>Sum</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Powerquery!$E$2:$E$499</c:f>
              <c:numCache>
                <c:formatCode>General</c:formatCode>
                <c:ptCount val="498"/>
                <c:pt idx="0">
                  <c:v>91820</c:v>
                </c:pt>
                <c:pt idx="1">
                  <c:v>31023</c:v>
                </c:pt>
                <c:pt idx="2">
                  <c:v>79925</c:v>
                </c:pt>
                <c:pt idx="3">
                  <c:v>40658</c:v>
                </c:pt>
                <c:pt idx="4">
                  <c:v>71886</c:v>
                </c:pt>
                <c:pt idx="5">
                  <c:v>56606</c:v>
                </c:pt>
                <c:pt idx="6">
                  <c:v>32159</c:v>
                </c:pt>
                <c:pt idx="7">
                  <c:v>93953</c:v>
                </c:pt>
                <c:pt idx="8">
                  <c:v>55397</c:v>
                </c:pt>
                <c:pt idx="9">
                  <c:v>97798</c:v>
                </c:pt>
                <c:pt idx="10">
                  <c:v>76228</c:v>
                </c:pt>
                <c:pt idx="11">
                  <c:v>17695</c:v>
                </c:pt>
                <c:pt idx="12">
                  <c:v>53660</c:v>
                </c:pt>
                <c:pt idx="13">
                  <c:v>23392</c:v>
                </c:pt>
                <c:pt idx="14">
                  <c:v>94575</c:v>
                </c:pt>
                <c:pt idx="15">
                  <c:v>42266</c:v>
                </c:pt>
                <c:pt idx="16">
                  <c:v>38419</c:v>
                </c:pt>
                <c:pt idx="17">
                  <c:v>33141</c:v>
                </c:pt>
                <c:pt idx="18">
                  <c:v>79044</c:v>
                </c:pt>
                <c:pt idx="19">
                  <c:v>63925</c:v>
                </c:pt>
                <c:pt idx="20">
                  <c:v>59262</c:v>
                </c:pt>
                <c:pt idx="21">
                  <c:v>73053</c:v>
                </c:pt>
                <c:pt idx="22">
                  <c:v>49766</c:v>
                </c:pt>
                <c:pt idx="23">
                  <c:v>61576</c:v>
                </c:pt>
                <c:pt idx="24">
                  <c:v>38664</c:v>
                </c:pt>
                <c:pt idx="25">
                  <c:v>53623</c:v>
                </c:pt>
                <c:pt idx="26">
                  <c:v>78734</c:v>
                </c:pt>
                <c:pt idx="27">
                  <c:v>52157</c:v>
                </c:pt>
                <c:pt idx="28">
                  <c:v>37671</c:v>
                </c:pt>
                <c:pt idx="29">
                  <c:v>71250</c:v>
                </c:pt>
                <c:pt idx="30">
                  <c:v>82270</c:v>
                </c:pt>
                <c:pt idx="31">
                  <c:v>16802</c:v>
                </c:pt>
                <c:pt idx="32">
                  <c:v>75713</c:v>
                </c:pt>
                <c:pt idx="33">
                  <c:v>17049</c:v>
                </c:pt>
                <c:pt idx="34">
                  <c:v>87694</c:v>
                </c:pt>
                <c:pt idx="35">
                  <c:v>19499</c:v>
                </c:pt>
                <c:pt idx="36">
                  <c:v>27874</c:v>
                </c:pt>
                <c:pt idx="37">
                  <c:v>97018</c:v>
                </c:pt>
                <c:pt idx="38">
                  <c:v>65108</c:v>
                </c:pt>
                <c:pt idx="39">
                  <c:v>18987</c:v>
                </c:pt>
                <c:pt idx="40">
                  <c:v>55818</c:v>
                </c:pt>
                <c:pt idx="41">
                  <c:v>89290</c:v>
                </c:pt>
                <c:pt idx="42">
                  <c:v>54790</c:v>
                </c:pt>
                <c:pt idx="43">
                  <c:v>58484</c:v>
                </c:pt>
                <c:pt idx="44">
                  <c:v>18420</c:v>
                </c:pt>
                <c:pt idx="45">
                  <c:v>21102</c:v>
                </c:pt>
                <c:pt idx="46">
                  <c:v>38093</c:v>
                </c:pt>
                <c:pt idx="47">
                  <c:v>33070</c:v>
                </c:pt>
                <c:pt idx="48">
                  <c:v>42751</c:v>
                </c:pt>
                <c:pt idx="49">
                  <c:v>34190</c:v>
                </c:pt>
                <c:pt idx="50">
                  <c:v>85316</c:v>
                </c:pt>
                <c:pt idx="51">
                  <c:v>47097</c:v>
                </c:pt>
                <c:pt idx="52">
                  <c:v>65300</c:v>
                </c:pt>
                <c:pt idx="53">
                  <c:v>95135</c:v>
                </c:pt>
                <c:pt idx="54">
                  <c:v>73335</c:v>
                </c:pt>
                <c:pt idx="55">
                  <c:v>88847</c:v>
                </c:pt>
                <c:pt idx="56">
                  <c:v>47217</c:v>
                </c:pt>
                <c:pt idx="57">
                  <c:v>31896</c:v>
                </c:pt>
                <c:pt idx="58">
                  <c:v>18343</c:v>
                </c:pt>
                <c:pt idx="59">
                  <c:v>82215</c:v>
                </c:pt>
                <c:pt idx="60">
                  <c:v>69340</c:v>
                </c:pt>
                <c:pt idx="61">
                  <c:v>77752</c:v>
                </c:pt>
                <c:pt idx="62">
                  <c:v>80417</c:v>
                </c:pt>
                <c:pt idx="63">
                  <c:v>19611</c:v>
                </c:pt>
                <c:pt idx="64">
                  <c:v>33071</c:v>
                </c:pt>
                <c:pt idx="65">
                  <c:v>53304</c:v>
                </c:pt>
                <c:pt idx="66">
                  <c:v>27161</c:v>
                </c:pt>
                <c:pt idx="67">
                  <c:v>30305</c:v>
                </c:pt>
                <c:pt idx="68">
                  <c:v>97745</c:v>
                </c:pt>
                <c:pt idx="69">
                  <c:v>59425</c:v>
                </c:pt>
                <c:pt idx="70">
                  <c:v>85640</c:v>
                </c:pt>
                <c:pt idx="71">
                  <c:v>35150</c:v>
                </c:pt>
                <c:pt idx="72">
                  <c:v>29397</c:v>
                </c:pt>
                <c:pt idx="73">
                  <c:v>94459</c:v>
                </c:pt>
                <c:pt idx="74">
                  <c:v>47307</c:v>
                </c:pt>
                <c:pt idx="75">
                  <c:v>75566</c:v>
                </c:pt>
                <c:pt idx="76">
                  <c:v>26174</c:v>
                </c:pt>
                <c:pt idx="77">
                  <c:v>63136</c:v>
                </c:pt>
                <c:pt idx="78">
                  <c:v>65343</c:v>
                </c:pt>
                <c:pt idx="79">
                  <c:v>43295</c:v>
                </c:pt>
                <c:pt idx="80">
                  <c:v>34870</c:v>
                </c:pt>
                <c:pt idx="81">
                  <c:v>30485</c:v>
                </c:pt>
                <c:pt idx="82">
                  <c:v>72799</c:v>
                </c:pt>
                <c:pt idx="83">
                  <c:v>95219</c:v>
                </c:pt>
                <c:pt idx="84">
                  <c:v>82641</c:v>
                </c:pt>
                <c:pt idx="85">
                  <c:v>76642</c:v>
                </c:pt>
                <c:pt idx="86">
                  <c:v>53413</c:v>
                </c:pt>
                <c:pt idx="87">
                  <c:v>36447</c:v>
                </c:pt>
                <c:pt idx="88">
                  <c:v>46921</c:v>
                </c:pt>
                <c:pt idx="89">
                  <c:v>53088</c:v>
                </c:pt>
                <c:pt idx="90">
                  <c:v>60445</c:v>
                </c:pt>
                <c:pt idx="91">
                  <c:v>73141</c:v>
                </c:pt>
                <c:pt idx="92">
                  <c:v>77292</c:v>
                </c:pt>
                <c:pt idx="93">
                  <c:v>33017</c:v>
                </c:pt>
                <c:pt idx="94">
                  <c:v>62926</c:v>
                </c:pt>
                <c:pt idx="95">
                  <c:v>38524</c:v>
                </c:pt>
                <c:pt idx="96">
                  <c:v>49816</c:v>
                </c:pt>
                <c:pt idx="97">
                  <c:v>52744</c:v>
                </c:pt>
                <c:pt idx="98">
                  <c:v>73017</c:v>
                </c:pt>
                <c:pt idx="99">
                  <c:v>39285</c:v>
                </c:pt>
                <c:pt idx="100">
                  <c:v>59238</c:v>
                </c:pt>
                <c:pt idx="101">
                  <c:v>80215</c:v>
                </c:pt>
                <c:pt idx="102">
                  <c:v>38386</c:v>
                </c:pt>
                <c:pt idx="103">
                  <c:v>57318</c:v>
                </c:pt>
                <c:pt idx="104">
                  <c:v>34963</c:v>
                </c:pt>
                <c:pt idx="105">
                  <c:v>27015</c:v>
                </c:pt>
                <c:pt idx="106">
                  <c:v>86774</c:v>
                </c:pt>
                <c:pt idx="107">
                  <c:v>98807</c:v>
                </c:pt>
                <c:pt idx="108">
                  <c:v>72108</c:v>
                </c:pt>
                <c:pt idx="109">
                  <c:v>33777</c:v>
                </c:pt>
                <c:pt idx="110">
                  <c:v>25488</c:v>
                </c:pt>
                <c:pt idx="111">
                  <c:v>79291</c:v>
                </c:pt>
                <c:pt idx="112">
                  <c:v>15055</c:v>
                </c:pt>
                <c:pt idx="113">
                  <c:v>31748</c:v>
                </c:pt>
                <c:pt idx="114">
                  <c:v>97838</c:v>
                </c:pt>
                <c:pt idx="115">
                  <c:v>61271</c:v>
                </c:pt>
                <c:pt idx="116">
                  <c:v>21229</c:v>
                </c:pt>
                <c:pt idx="117">
                  <c:v>22561</c:v>
                </c:pt>
                <c:pt idx="118">
                  <c:v>41069</c:v>
                </c:pt>
                <c:pt idx="119">
                  <c:v>96449</c:v>
                </c:pt>
                <c:pt idx="120">
                  <c:v>91090</c:v>
                </c:pt>
                <c:pt idx="121">
                  <c:v>16605</c:v>
                </c:pt>
                <c:pt idx="122">
                  <c:v>42446</c:v>
                </c:pt>
                <c:pt idx="123">
                  <c:v>31389</c:v>
                </c:pt>
                <c:pt idx="124">
                  <c:v>15846</c:v>
                </c:pt>
                <c:pt idx="125">
                  <c:v>57101</c:v>
                </c:pt>
                <c:pt idx="126">
                  <c:v>57533</c:v>
                </c:pt>
                <c:pt idx="127">
                  <c:v>74383</c:v>
                </c:pt>
                <c:pt idx="128">
                  <c:v>20287</c:v>
                </c:pt>
                <c:pt idx="129">
                  <c:v>94767</c:v>
                </c:pt>
                <c:pt idx="130">
                  <c:v>57929</c:v>
                </c:pt>
                <c:pt idx="131">
                  <c:v>58925</c:v>
                </c:pt>
                <c:pt idx="132">
                  <c:v>30524</c:v>
                </c:pt>
                <c:pt idx="133">
                  <c:v>44287</c:v>
                </c:pt>
                <c:pt idx="134">
                  <c:v>34096</c:v>
                </c:pt>
                <c:pt idx="135">
                  <c:v>19018</c:v>
                </c:pt>
                <c:pt idx="136">
                  <c:v>71819</c:v>
                </c:pt>
                <c:pt idx="137">
                  <c:v>66356</c:v>
                </c:pt>
                <c:pt idx="138">
                  <c:v>34029</c:v>
                </c:pt>
                <c:pt idx="139">
                  <c:v>44486</c:v>
                </c:pt>
                <c:pt idx="140">
                  <c:v>29382</c:v>
                </c:pt>
                <c:pt idx="141">
                  <c:v>86315</c:v>
                </c:pt>
                <c:pt idx="142">
                  <c:v>15814</c:v>
                </c:pt>
                <c:pt idx="143">
                  <c:v>71942</c:v>
                </c:pt>
                <c:pt idx="144">
                  <c:v>68028</c:v>
                </c:pt>
                <c:pt idx="145">
                  <c:v>59327</c:v>
                </c:pt>
                <c:pt idx="146">
                  <c:v>16645</c:v>
                </c:pt>
                <c:pt idx="147">
                  <c:v>54282</c:v>
                </c:pt>
                <c:pt idx="148">
                  <c:v>28224</c:v>
                </c:pt>
                <c:pt idx="149">
                  <c:v>72761</c:v>
                </c:pt>
                <c:pt idx="150">
                  <c:v>60765</c:v>
                </c:pt>
                <c:pt idx="151">
                  <c:v>31241</c:v>
                </c:pt>
                <c:pt idx="152">
                  <c:v>64840</c:v>
                </c:pt>
                <c:pt idx="153">
                  <c:v>77823</c:v>
                </c:pt>
                <c:pt idx="154">
                  <c:v>48719</c:v>
                </c:pt>
                <c:pt idx="155">
                  <c:v>79077</c:v>
                </c:pt>
                <c:pt idx="156">
                  <c:v>26485</c:v>
                </c:pt>
                <c:pt idx="157">
                  <c:v>63770</c:v>
                </c:pt>
                <c:pt idx="158">
                  <c:v>41399</c:v>
                </c:pt>
                <c:pt idx="159">
                  <c:v>71373</c:v>
                </c:pt>
                <c:pt idx="160">
                  <c:v>49911</c:v>
                </c:pt>
                <c:pt idx="161">
                  <c:v>81358</c:v>
                </c:pt>
                <c:pt idx="162">
                  <c:v>75500</c:v>
                </c:pt>
                <c:pt idx="163">
                  <c:v>38236</c:v>
                </c:pt>
                <c:pt idx="164">
                  <c:v>93757</c:v>
                </c:pt>
                <c:pt idx="165">
                  <c:v>60648</c:v>
                </c:pt>
                <c:pt idx="166">
                  <c:v>43529</c:v>
                </c:pt>
                <c:pt idx="167">
                  <c:v>70029</c:v>
                </c:pt>
                <c:pt idx="168">
                  <c:v>76268</c:v>
                </c:pt>
                <c:pt idx="169">
                  <c:v>55809</c:v>
                </c:pt>
                <c:pt idx="170">
                  <c:v>61828</c:v>
                </c:pt>
                <c:pt idx="171">
                  <c:v>44373</c:v>
                </c:pt>
                <c:pt idx="172">
                  <c:v>34250</c:v>
                </c:pt>
                <c:pt idx="173">
                  <c:v>87355</c:v>
                </c:pt>
                <c:pt idx="174">
                  <c:v>89478</c:v>
                </c:pt>
                <c:pt idx="175">
                  <c:v>60420</c:v>
                </c:pt>
                <c:pt idx="176">
                  <c:v>52904</c:v>
                </c:pt>
                <c:pt idx="177">
                  <c:v>39354</c:v>
                </c:pt>
                <c:pt idx="178">
                  <c:v>84626</c:v>
                </c:pt>
                <c:pt idx="179">
                  <c:v>16341</c:v>
                </c:pt>
                <c:pt idx="180">
                  <c:v>16750</c:v>
                </c:pt>
                <c:pt idx="181">
                  <c:v>92454</c:v>
                </c:pt>
                <c:pt idx="182">
                  <c:v>27182</c:v>
                </c:pt>
                <c:pt idx="183">
                  <c:v>95559</c:v>
                </c:pt>
                <c:pt idx="184">
                  <c:v>66571</c:v>
                </c:pt>
                <c:pt idx="185">
                  <c:v>72132</c:v>
                </c:pt>
                <c:pt idx="186">
                  <c:v>93187</c:v>
                </c:pt>
                <c:pt idx="187">
                  <c:v>22564</c:v>
                </c:pt>
                <c:pt idx="188">
                  <c:v>44430</c:v>
                </c:pt>
                <c:pt idx="189">
                  <c:v>54974</c:v>
                </c:pt>
                <c:pt idx="190">
                  <c:v>48039</c:v>
                </c:pt>
                <c:pt idx="191">
                  <c:v>25816</c:v>
                </c:pt>
                <c:pt idx="192">
                  <c:v>47913</c:v>
                </c:pt>
                <c:pt idx="193">
                  <c:v>60028</c:v>
                </c:pt>
                <c:pt idx="194">
                  <c:v>49636</c:v>
                </c:pt>
                <c:pt idx="195">
                  <c:v>71979</c:v>
                </c:pt>
                <c:pt idx="196">
                  <c:v>92129</c:v>
                </c:pt>
                <c:pt idx="197">
                  <c:v>29199</c:v>
                </c:pt>
                <c:pt idx="198">
                  <c:v>77483</c:v>
                </c:pt>
                <c:pt idx="199">
                  <c:v>22906</c:v>
                </c:pt>
                <c:pt idx="200">
                  <c:v>98300</c:v>
                </c:pt>
                <c:pt idx="201">
                  <c:v>40931</c:v>
                </c:pt>
                <c:pt idx="202">
                  <c:v>96121</c:v>
                </c:pt>
                <c:pt idx="203">
                  <c:v>24903</c:v>
                </c:pt>
                <c:pt idx="204">
                  <c:v>34129</c:v>
                </c:pt>
                <c:pt idx="205">
                  <c:v>82675</c:v>
                </c:pt>
                <c:pt idx="206">
                  <c:v>41292</c:v>
                </c:pt>
                <c:pt idx="207">
                  <c:v>37534</c:v>
                </c:pt>
                <c:pt idx="208">
                  <c:v>62638</c:v>
                </c:pt>
                <c:pt idx="209">
                  <c:v>72932</c:v>
                </c:pt>
                <c:pt idx="210">
                  <c:v>46966</c:v>
                </c:pt>
                <c:pt idx="211">
                  <c:v>85981</c:v>
                </c:pt>
                <c:pt idx="212">
                  <c:v>41660</c:v>
                </c:pt>
                <c:pt idx="213">
                  <c:v>95395</c:v>
                </c:pt>
                <c:pt idx="214">
                  <c:v>52567</c:v>
                </c:pt>
                <c:pt idx="215">
                  <c:v>72372</c:v>
                </c:pt>
                <c:pt idx="216">
                  <c:v>59569</c:v>
                </c:pt>
                <c:pt idx="217">
                  <c:v>21540</c:v>
                </c:pt>
                <c:pt idx="218">
                  <c:v>65975</c:v>
                </c:pt>
                <c:pt idx="219">
                  <c:v>48756</c:v>
                </c:pt>
                <c:pt idx="220">
                  <c:v>20626</c:v>
                </c:pt>
                <c:pt idx="221">
                  <c:v>99976</c:v>
                </c:pt>
                <c:pt idx="222">
                  <c:v>33639</c:v>
                </c:pt>
                <c:pt idx="223">
                  <c:v>83916</c:v>
                </c:pt>
                <c:pt idx="224">
                  <c:v>76788</c:v>
                </c:pt>
                <c:pt idx="225">
                  <c:v>67098</c:v>
                </c:pt>
                <c:pt idx="226">
                  <c:v>94083</c:v>
                </c:pt>
                <c:pt idx="227">
                  <c:v>69615</c:v>
                </c:pt>
                <c:pt idx="228">
                  <c:v>44009</c:v>
                </c:pt>
                <c:pt idx="229">
                  <c:v>36804</c:v>
                </c:pt>
                <c:pt idx="230">
                  <c:v>84298</c:v>
                </c:pt>
                <c:pt idx="231">
                  <c:v>89319</c:v>
                </c:pt>
                <c:pt idx="232">
                  <c:v>78483</c:v>
                </c:pt>
                <c:pt idx="233">
                  <c:v>71985</c:v>
                </c:pt>
                <c:pt idx="234">
                  <c:v>24078</c:v>
                </c:pt>
                <c:pt idx="235">
                  <c:v>79881</c:v>
                </c:pt>
                <c:pt idx="236">
                  <c:v>76550</c:v>
                </c:pt>
                <c:pt idx="237">
                  <c:v>42961</c:v>
                </c:pt>
                <c:pt idx="238">
                  <c:v>51877</c:v>
                </c:pt>
                <c:pt idx="239">
                  <c:v>94148</c:v>
                </c:pt>
                <c:pt idx="240">
                  <c:v>98847</c:v>
                </c:pt>
                <c:pt idx="241">
                  <c:v>31082</c:v>
                </c:pt>
                <c:pt idx="242">
                  <c:v>23946</c:v>
                </c:pt>
                <c:pt idx="243">
                  <c:v>74321</c:v>
                </c:pt>
                <c:pt idx="244">
                  <c:v>54063</c:v>
                </c:pt>
                <c:pt idx="245">
                  <c:v>46585</c:v>
                </c:pt>
                <c:pt idx="246">
                  <c:v>44426</c:v>
                </c:pt>
                <c:pt idx="247">
                  <c:v>99878</c:v>
                </c:pt>
                <c:pt idx="248">
                  <c:v>41916</c:v>
                </c:pt>
                <c:pt idx="249">
                  <c:v>84350</c:v>
                </c:pt>
                <c:pt idx="250">
                  <c:v>36927</c:v>
                </c:pt>
                <c:pt idx="251">
                  <c:v>48397</c:v>
                </c:pt>
                <c:pt idx="252">
                  <c:v>21276</c:v>
                </c:pt>
                <c:pt idx="253">
                  <c:v>66886</c:v>
                </c:pt>
                <c:pt idx="254">
                  <c:v>98310</c:v>
                </c:pt>
                <c:pt idx="255">
                  <c:v>81504</c:v>
                </c:pt>
                <c:pt idx="256">
                  <c:v>24200</c:v>
                </c:pt>
                <c:pt idx="257">
                  <c:v>76212</c:v>
                </c:pt>
                <c:pt idx="258">
                  <c:v>24110</c:v>
                </c:pt>
                <c:pt idx="259">
                  <c:v>16969</c:v>
                </c:pt>
                <c:pt idx="260">
                  <c:v>28669</c:v>
                </c:pt>
                <c:pt idx="261">
                  <c:v>70409</c:v>
                </c:pt>
                <c:pt idx="262">
                  <c:v>52208</c:v>
                </c:pt>
                <c:pt idx="263">
                  <c:v>41984</c:v>
                </c:pt>
                <c:pt idx="264">
                  <c:v>75576</c:v>
                </c:pt>
                <c:pt idx="265">
                  <c:v>40923</c:v>
                </c:pt>
                <c:pt idx="266">
                  <c:v>18712</c:v>
                </c:pt>
                <c:pt idx="267">
                  <c:v>42723</c:v>
                </c:pt>
                <c:pt idx="268">
                  <c:v>23927</c:v>
                </c:pt>
                <c:pt idx="269">
                  <c:v>21471</c:v>
                </c:pt>
                <c:pt idx="270">
                  <c:v>19760</c:v>
                </c:pt>
                <c:pt idx="271">
                  <c:v>26563</c:v>
                </c:pt>
                <c:pt idx="272">
                  <c:v>48174</c:v>
                </c:pt>
                <c:pt idx="273">
                  <c:v>23906</c:v>
                </c:pt>
                <c:pt idx="274">
                  <c:v>22151</c:v>
                </c:pt>
                <c:pt idx="275">
                  <c:v>27289</c:v>
                </c:pt>
                <c:pt idx="276">
                  <c:v>44734</c:v>
                </c:pt>
                <c:pt idx="277">
                  <c:v>89172</c:v>
                </c:pt>
                <c:pt idx="278">
                  <c:v>36675</c:v>
                </c:pt>
                <c:pt idx="279">
                  <c:v>49068</c:v>
                </c:pt>
                <c:pt idx="280">
                  <c:v>49084</c:v>
                </c:pt>
                <c:pt idx="281">
                  <c:v>80681</c:v>
                </c:pt>
                <c:pt idx="282">
                  <c:v>32633</c:v>
                </c:pt>
                <c:pt idx="283">
                  <c:v>48755</c:v>
                </c:pt>
                <c:pt idx="284">
                  <c:v>80108</c:v>
                </c:pt>
                <c:pt idx="285">
                  <c:v>91329</c:v>
                </c:pt>
                <c:pt idx="286">
                  <c:v>46367</c:v>
                </c:pt>
                <c:pt idx="287">
                  <c:v>85587</c:v>
                </c:pt>
                <c:pt idx="288">
                  <c:v>88794</c:v>
                </c:pt>
                <c:pt idx="289">
                  <c:v>73576</c:v>
                </c:pt>
                <c:pt idx="290">
                  <c:v>75963</c:v>
                </c:pt>
                <c:pt idx="291">
                  <c:v>43982</c:v>
                </c:pt>
                <c:pt idx="292">
                  <c:v>61479</c:v>
                </c:pt>
                <c:pt idx="293">
                  <c:v>44301</c:v>
                </c:pt>
                <c:pt idx="294">
                  <c:v>71273</c:v>
                </c:pt>
                <c:pt idx="295">
                  <c:v>34169</c:v>
                </c:pt>
                <c:pt idx="296">
                  <c:v>62864</c:v>
                </c:pt>
                <c:pt idx="297">
                  <c:v>98362</c:v>
                </c:pt>
                <c:pt idx="298">
                  <c:v>49594</c:v>
                </c:pt>
                <c:pt idx="299">
                  <c:v>46750</c:v>
                </c:pt>
                <c:pt idx="300">
                  <c:v>71154</c:v>
                </c:pt>
                <c:pt idx="301">
                  <c:v>44984</c:v>
                </c:pt>
                <c:pt idx="302">
                  <c:v>29716</c:v>
                </c:pt>
                <c:pt idx="303">
                  <c:v>63244</c:v>
                </c:pt>
                <c:pt idx="304">
                  <c:v>61659</c:v>
                </c:pt>
                <c:pt idx="305">
                  <c:v>92452</c:v>
                </c:pt>
                <c:pt idx="306">
                  <c:v>33268</c:v>
                </c:pt>
                <c:pt idx="307">
                  <c:v>70677</c:v>
                </c:pt>
                <c:pt idx="308">
                  <c:v>74474</c:v>
                </c:pt>
                <c:pt idx="309">
                  <c:v>38291</c:v>
                </c:pt>
                <c:pt idx="310">
                  <c:v>81918</c:v>
                </c:pt>
                <c:pt idx="311">
                  <c:v>30422</c:v>
                </c:pt>
                <c:pt idx="312">
                  <c:v>41715</c:v>
                </c:pt>
                <c:pt idx="313">
                  <c:v>77646</c:v>
                </c:pt>
                <c:pt idx="314">
                  <c:v>20542</c:v>
                </c:pt>
                <c:pt idx="315">
                  <c:v>68744</c:v>
                </c:pt>
                <c:pt idx="316">
                  <c:v>25749</c:v>
                </c:pt>
                <c:pt idx="317">
                  <c:v>87930</c:v>
                </c:pt>
                <c:pt idx="318">
                  <c:v>47784</c:v>
                </c:pt>
                <c:pt idx="319">
                  <c:v>18631</c:v>
                </c:pt>
                <c:pt idx="320">
                  <c:v>66431</c:v>
                </c:pt>
                <c:pt idx="321">
                  <c:v>88616</c:v>
                </c:pt>
                <c:pt idx="322">
                  <c:v>78936</c:v>
                </c:pt>
                <c:pt idx="323">
                  <c:v>43082</c:v>
                </c:pt>
                <c:pt idx="324">
                  <c:v>63355</c:v>
                </c:pt>
                <c:pt idx="325">
                  <c:v>43138</c:v>
                </c:pt>
                <c:pt idx="326">
                  <c:v>67161</c:v>
                </c:pt>
                <c:pt idx="327">
                  <c:v>74560</c:v>
                </c:pt>
                <c:pt idx="328">
                  <c:v>61857</c:v>
                </c:pt>
                <c:pt idx="329">
                  <c:v>54071</c:v>
                </c:pt>
                <c:pt idx="330">
                  <c:v>60838</c:v>
                </c:pt>
                <c:pt idx="331">
                  <c:v>64145</c:v>
                </c:pt>
                <c:pt idx="332">
                  <c:v>91971</c:v>
                </c:pt>
                <c:pt idx="333">
                  <c:v>91272</c:v>
                </c:pt>
                <c:pt idx="334">
                  <c:v>94751</c:v>
                </c:pt>
                <c:pt idx="335">
                  <c:v>73712</c:v>
                </c:pt>
                <c:pt idx="336">
                  <c:v>70731</c:v>
                </c:pt>
                <c:pt idx="337">
                  <c:v>18754</c:v>
                </c:pt>
                <c:pt idx="338">
                  <c:v>98986</c:v>
                </c:pt>
                <c:pt idx="339">
                  <c:v>44806</c:v>
                </c:pt>
                <c:pt idx="340">
                  <c:v>53787</c:v>
                </c:pt>
                <c:pt idx="341">
                  <c:v>49196</c:v>
                </c:pt>
                <c:pt idx="342">
                  <c:v>52900</c:v>
                </c:pt>
                <c:pt idx="343">
                  <c:v>78437</c:v>
                </c:pt>
                <c:pt idx="344">
                  <c:v>20110</c:v>
                </c:pt>
                <c:pt idx="345">
                  <c:v>81549</c:v>
                </c:pt>
                <c:pt idx="346">
                  <c:v>95073</c:v>
                </c:pt>
                <c:pt idx="347">
                  <c:v>83099</c:v>
                </c:pt>
                <c:pt idx="348">
                  <c:v>21643</c:v>
                </c:pt>
                <c:pt idx="349">
                  <c:v>78646</c:v>
                </c:pt>
                <c:pt idx="350">
                  <c:v>77539</c:v>
                </c:pt>
                <c:pt idx="351">
                  <c:v>72775</c:v>
                </c:pt>
                <c:pt idx="352">
                  <c:v>48937</c:v>
                </c:pt>
                <c:pt idx="353">
                  <c:v>90054</c:v>
                </c:pt>
                <c:pt idx="354">
                  <c:v>49051</c:v>
                </c:pt>
                <c:pt idx="355">
                  <c:v>18471</c:v>
                </c:pt>
                <c:pt idx="356">
                  <c:v>21397</c:v>
                </c:pt>
                <c:pt idx="357">
                  <c:v>40122</c:v>
                </c:pt>
                <c:pt idx="358">
                  <c:v>57963</c:v>
                </c:pt>
                <c:pt idx="359">
                  <c:v>44309</c:v>
                </c:pt>
                <c:pt idx="360">
                  <c:v>58619</c:v>
                </c:pt>
                <c:pt idx="361">
                  <c:v>22736</c:v>
                </c:pt>
                <c:pt idx="362">
                  <c:v>95797</c:v>
                </c:pt>
                <c:pt idx="363">
                  <c:v>15162</c:v>
                </c:pt>
                <c:pt idx="364">
                  <c:v>24833</c:v>
                </c:pt>
                <c:pt idx="365">
                  <c:v>17643</c:v>
                </c:pt>
                <c:pt idx="366">
                  <c:v>45682</c:v>
                </c:pt>
                <c:pt idx="367">
                  <c:v>92465</c:v>
                </c:pt>
                <c:pt idx="368">
                  <c:v>41928</c:v>
                </c:pt>
                <c:pt idx="369">
                  <c:v>39259</c:v>
                </c:pt>
                <c:pt idx="370">
                  <c:v>90415</c:v>
                </c:pt>
                <c:pt idx="371">
                  <c:v>59629</c:v>
                </c:pt>
                <c:pt idx="372">
                  <c:v>98457</c:v>
                </c:pt>
                <c:pt idx="373">
                  <c:v>93258</c:v>
                </c:pt>
                <c:pt idx="374">
                  <c:v>45651</c:v>
                </c:pt>
                <c:pt idx="375">
                  <c:v>52823</c:v>
                </c:pt>
                <c:pt idx="376">
                  <c:v>45573</c:v>
                </c:pt>
                <c:pt idx="377">
                  <c:v>15781</c:v>
                </c:pt>
                <c:pt idx="378">
                  <c:v>44118</c:v>
                </c:pt>
                <c:pt idx="379">
                  <c:v>38648</c:v>
                </c:pt>
                <c:pt idx="380">
                  <c:v>41390</c:v>
                </c:pt>
                <c:pt idx="381">
                  <c:v>66707</c:v>
                </c:pt>
                <c:pt idx="382">
                  <c:v>36038</c:v>
                </c:pt>
                <c:pt idx="383">
                  <c:v>92067</c:v>
                </c:pt>
                <c:pt idx="384">
                  <c:v>15282</c:v>
                </c:pt>
                <c:pt idx="385">
                  <c:v>32071</c:v>
                </c:pt>
                <c:pt idx="386">
                  <c:v>77987</c:v>
                </c:pt>
                <c:pt idx="387">
                  <c:v>57870</c:v>
                </c:pt>
                <c:pt idx="388">
                  <c:v>82065</c:v>
                </c:pt>
                <c:pt idx="389">
                  <c:v>41819</c:v>
                </c:pt>
                <c:pt idx="390">
                  <c:v>64416</c:v>
                </c:pt>
                <c:pt idx="391">
                  <c:v>45090</c:v>
                </c:pt>
                <c:pt idx="392">
                  <c:v>24346</c:v>
                </c:pt>
                <c:pt idx="393">
                  <c:v>40556</c:v>
                </c:pt>
                <c:pt idx="394">
                  <c:v>48866</c:v>
                </c:pt>
                <c:pt idx="395">
                  <c:v>91637</c:v>
                </c:pt>
                <c:pt idx="396">
                  <c:v>89663</c:v>
                </c:pt>
                <c:pt idx="397">
                  <c:v>70296</c:v>
                </c:pt>
                <c:pt idx="398">
                  <c:v>86906</c:v>
                </c:pt>
                <c:pt idx="399">
                  <c:v>70267</c:v>
                </c:pt>
                <c:pt idx="400">
                  <c:v>71526</c:v>
                </c:pt>
                <c:pt idx="401">
                  <c:v>73810</c:v>
                </c:pt>
                <c:pt idx="402">
                  <c:v>89567</c:v>
                </c:pt>
                <c:pt idx="403">
                  <c:v>23472</c:v>
                </c:pt>
                <c:pt idx="404">
                  <c:v>84624</c:v>
                </c:pt>
                <c:pt idx="405">
                  <c:v>87766</c:v>
                </c:pt>
                <c:pt idx="406">
                  <c:v>19493</c:v>
                </c:pt>
                <c:pt idx="407">
                  <c:v>74711</c:v>
                </c:pt>
                <c:pt idx="408">
                  <c:v>86363</c:v>
                </c:pt>
                <c:pt idx="409">
                  <c:v>85910</c:v>
                </c:pt>
                <c:pt idx="410">
                  <c:v>69306</c:v>
                </c:pt>
                <c:pt idx="411">
                  <c:v>94151</c:v>
                </c:pt>
                <c:pt idx="412">
                  <c:v>61403</c:v>
                </c:pt>
                <c:pt idx="413">
                  <c:v>21581</c:v>
                </c:pt>
                <c:pt idx="414">
                  <c:v>76944</c:v>
                </c:pt>
                <c:pt idx="415">
                  <c:v>45795</c:v>
                </c:pt>
                <c:pt idx="416">
                  <c:v>77824</c:v>
                </c:pt>
                <c:pt idx="417">
                  <c:v>41512</c:v>
                </c:pt>
                <c:pt idx="418">
                  <c:v>44033</c:v>
                </c:pt>
                <c:pt idx="419">
                  <c:v>71044</c:v>
                </c:pt>
                <c:pt idx="420">
                  <c:v>73557</c:v>
                </c:pt>
                <c:pt idx="421">
                  <c:v>32087</c:v>
                </c:pt>
                <c:pt idx="422">
                  <c:v>85448</c:v>
                </c:pt>
                <c:pt idx="423">
                  <c:v>83648</c:v>
                </c:pt>
                <c:pt idx="424">
                  <c:v>74518</c:v>
                </c:pt>
                <c:pt idx="425">
                  <c:v>87124</c:v>
                </c:pt>
                <c:pt idx="426">
                  <c:v>94190</c:v>
                </c:pt>
                <c:pt idx="427">
                  <c:v>38377</c:v>
                </c:pt>
                <c:pt idx="428">
                  <c:v>49542</c:v>
                </c:pt>
                <c:pt idx="429">
                  <c:v>39306</c:v>
                </c:pt>
                <c:pt idx="430">
                  <c:v>25058</c:v>
                </c:pt>
                <c:pt idx="431">
                  <c:v>32154</c:v>
                </c:pt>
                <c:pt idx="432">
                  <c:v>43669</c:v>
                </c:pt>
                <c:pt idx="433">
                  <c:v>89964</c:v>
                </c:pt>
                <c:pt idx="434">
                  <c:v>22461</c:v>
                </c:pt>
                <c:pt idx="435">
                  <c:v>51788</c:v>
                </c:pt>
                <c:pt idx="436">
                  <c:v>99162</c:v>
                </c:pt>
                <c:pt idx="437">
                  <c:v>30434</c:v>
                </c:pt>
                <c:pt idx="438">
                  <c:v>55603</c:v>
                </c:pt>
                <c:pt idx="439">
                  <c:v>99526</c:v>
                </c:pt>
                <c:pt idx="440">
                  <c:v>59014</c:v>
                </c:pt>
                <c:pt idx="441">
                  <c:v>94239</c:v>
                </c:pt>
                <c:pt idx="442">
                  <c:v>20744</c:v>
                </c:pt>
                <c:pt idx="443">
                  <c:v>85188</c:v>
                </c:pt>
                <c:pt idx="444">
                  <c:v>94674</c:v>
                </c:pt>
                <c:pt idx="445">
                  <c:v>88851</c:v>
                </c:pt>
                <c:pt idx="446">
                  <c:v>76516</c:v>
                </c:pt>
                <c:pt idx="447">
                  <c:v>30848</c:v>
                </c:pt>
                <c:pt idx="448">
                  <c:v>65098</c:v>
                </c:pt>
                <c:pt idx="449">
                  <c:v>15340</c:v>
                </c:pt>
                <c:pt idx="450">
                  <c:v>45654</c:v>
                </c:pt>
                <c:pt idx="451">
                  <c:v>28283</c:v>
                </c:pt>
                <c:pt idx="452">
                  <c:v>61840</c:v>
                </c:pt>
                <c:pt idx="453">
                  <c:v>16307</c:v>
                </c:pt>
                <c:pt idx="454">
                  <c:v>39842</c:v>
                </c:pt>
                <c:pt idx="455">
                  <c:v>70690</c:v>
                </c:pt>
                <c:pt idx="456">
                  <c:v>81093</c:v>
                </c:pt>
                <c:pt idx="457">
                  <c:v>71115</c:v>
                </c:pt>
                <c:pt idx="458">
                  <c:v>94063</c:v>
                </c:pt>
                <c:pt idx="459">
                  <c:v>45386</c:v>
                </c:pt>
                <c:pt idx="460">
                  <c:v>43398</c:v>
                </c:pt>
                <c:pt idx="461">
                  <c:v>23016</c:v>
                </c:pt>
                <c:pt idx="462">
                  <c:v>36826</c:v>
                </c:pt>
                <c:pt idx="463">
                  <c:v>66919</c:v>
                </c:pt>
                <c:pt idx="464">
                  <c:v>37313</c:v>
                </c:pt>
                <c:pt idx="465">
                  <c:v>71622</c:v>
                </c:pt>
                <c:pt idx="466">
                  <c:v>25886</c:v>
                </c:pt>
                <c:pt idx="467">
                  <c:v>23068</c:v>
                </c:pt>
                <c:pt idx="468">
                  <c:v>90969</c:v>
                </c:pt>
                <c:pt idx="469">
                  <c:v>63511</c:v>
                </c:pt>
                <c:pt idx="470">
                  <c:v>47955</c:v>
                </c:pt>
                <c:pt idx="471">
                  <c:v>71699</c:v>
                </c:pt>
                <c:pt idx="472">
                  <c:v>25350</c:v>
                </c:pt>
                <c:pt idx="473">
                  <c:v>38782</c:v>
                </c:pt>
                <c:pt idx="474">
                  <c:v>50596</c:v>
                </c:pt>
                <c:pt idx="475">
                  <c:v>31566</c:v>
                </c:pt>
                <c:pt idx="476">
                  <c:v>15159</c:v>
                </c:pt>
                <c:pt idx="477">
                  <c:v>61101</c:v>
                </c:pt>
                <c:pt idx="478">
                  <c:v>89763</c:v>
                </c:pt>
                <c:pt idx="479">
                  <c:v>63688</c:v>
                </c:pt>
                <c:pt idx="480">
                  <c:v>83703</c:v>
                </c:pt>
                <c:pt idx="481">
                  <c:v>37440</c:v>
                </c:pt>
                <c:pt idx="482">
                  <c:v>86274</c:v>
                </c:pt>
                <c:pt idx="483">
                  <c:v>17224</c:v>
                </c:pt>
                <c:pt idx="484">
                  <c:v>77368</c:v>
                </c:pt>
                <c:pt idx="485">
                  <c:v>30372</c:v>
                </c:pt>
                <c:pt idx="486">
                  <c:v>86368</c:v>
                </c:pt>
                <c:pt idx="487">
                  <c:v>60968</c:v>
                </c:pt>
                <c:pt idx="488">
                  <c:v>20355</c:v>
                </c:pt>
                <c:pt idx="489">
                  <c:v>41654</c:v>
                </c:pt>
                <c:pt idx="490">
                  <c:v>49773</c:v>
                </c:pt>
                <c:pt idx="491">
                  <c:v>62377</c:v>
                </c:pt>
                <c:pt idx="492">
                  <c:v>69336</c:v>
                </c:pt>
                <c:pt idx="493">
                  <c:v>70860</c:v>
                </c:pt>
                <c:pt idx="494">
                  <c:v>69131</c:v>
                </c:pt>
                <c:pt idx="495">
                  <c:v>59864</c:v>
                </c:pt>
                <c:pt idx="496">
                  <c:v>18866</c:v>
                </c:pt>
                <c:pt idx="497">
                  <c:v>35447</c:v>
                </c:pt>
              </c:numCache>
            </c:numRef>
          </c:xVal>
          <c:yVal>
            <c:numRef>
              <c:f>Powerquery!$F$2:$F$499</c:f>
              <c:numCache>
                <c:formatCode>General</c:formatCode>
                <c:ptCount val="498"/>
                <c:pt idx="0">
                  <c:v>66938</c:v>
                </c:pt>
                <c:pt idx="1">
                  <c:v>147514</c:v>
                </c:pt>
                <c:pt idx="2">
                  <c:v>-20369</c:v>
                </c:pt>
                <c:pt idx="3">
                  <c:v>143139</c:v>
                </c:pt>
                <c:pt idx="4">
                  <c:v>82234</c:v>
                </c:pt>
                <c:pt idx="5">
                  <c:v>-66916</c:v>
                </c:pt>
                <c:pt idx="6">
                  <c:v>106855</c:v>
                </c:pt>
                <c:pt idx="7">
                  <c:v>-13853</c:v>
                </c:pt>
                <c:pt idx="8">
                  <c:v>17580</c:v>
                </c:pt>
                <c:pt idx="9">
                  <c:v>23946</c:v>
                </c:pt>
                <c:pt idx="10">
                  <c:v>118137</c:v>
                </c:pt>
                <c:pt idx="11">
                  <c:v>32422</c:v>
                </c:pt>
                <c:pt idx="12">
                  <c:v>-34427</c:v>
                </c:pt>
                <c:pt idx="13">
                  <c:v>96440</c:v>
                </c:pt>
                <c:pt idx="14">
                  <c:v>83746</c:v>
                </c:pt>
                <c:pt idx="15">
                  <c:v>182773</c:v>
                </c:pt>
                <c:pt idx="16">
                  <c:v>226543</c:v>
                </c:pt>
                <c:pt idx="17">
                  <c:v>93725</c:v>
                </c:pt>
                <c:pt idx="18">
                  <c:v>53076</c:v>
                </c:pt>
                <c:pt idx="19">
                  <c:v>-56629</c:v>
                </c:pt>
                <c:pt idx="20">
                  <c:v>29806</c:v>
                </c:pt>
                <c:pt idx="21">
                  <c:v>26662</c:v>
                </c:pt>
                <c:pt idx="22">
                  <c:v>56642</c:v>
                </c:pt>
                <c:pt idx="23">
                  <c:v>55300</c:v>
                </c:pt>
                <c:pt idx="24">
                  <c:v>94589</c:v>
                </c:pt>
                <c:pt idx="25">
                  <c:v>112951</c:v>
                </c:pt>
                <c:pt idx="26">
                  <c:v>86340</c:v>
                </c:pt>
                <c:pt idx="27">
                  <c:v>135076</c:v>
                </c:pt>
                <c:pt idx="28">
                  <c:v>145960</c:v>
                </c:pt>
                <c:pt idx="29">
                  <c:v>-58785</c:v>
                </c:pt>
                <c:pt idx="30">
                  <c:v>-6696</c:v>
                </c:pt>
                <c:pt idx="31">
                  <c:v>160125</c:v>
                </c:pt>
                <c:pt idx="32">
                  <c:v>52866</c:v>
                </c:pt>
                <c:pt idx="33">
                  <c:v>204040</c:v>
                </c:pt>
                <c:pt idx="34">
                  <c:v>12569</c:v>
                </c:pt>
                <c:pt idx="35">
                  <c:v>62640</c:v>
                </c:pt>
                <c:pt idx="36">
                  <c:v>100743</c:v>
                </c:pt>
                <c:pt idx="37">
                  <c:v>120648</c:v>
                </c:pt>
                <c:pt idx="38">
                  <c:v>58523</c:v>
                </c:pt>
                <c:pt idx="39">
                  <c:v>132118</c:v>
                </c:pt>
                <c:pt idx="40">
                  <c:v>85723</c:v>
                </c:pt>
                <c:pt idx="41">
                  <c:v>52101</c:v>
                </c:pt>
                <c:pt idx="42">
                  <c:v>49077</c:v>
                </c:pt>
                <c:pt idx="43">
                  <c:v>47107</c:v>
                </c:pt>
                <c:pt idx="44">
                  <c:v>87370</c:v>
                </c:pt>
                <c:pt idx="45">
                  <c:v>88115</c:v>
                </c:pt>
                <c:pt idx="46">
                  <c:v>44140</c:v>
                </c:pt>
                <c:pt idx="47">
                  <c:v>65631</c:v>
                </c:pt>
                <c:pt idx="48">
                  <c:v>39185</c:v>
                </c:pt>
                <c:pt idx="49">
                  <c:v>63452</c:v>
                </c:pt>
                <c:pt idx="50">
                  <c:v>-2023</c:v>
                </c:pt>
                <c:pt idx="51">
                  <c:v>25450</c:v>
                </c:pt>
                <c:pt idx="52">
                  <c:v>104460</c:v>
                </c:pt>
                <c:pt idx="53">
                  <c:v>107788</c:v>
                </c:pt>
                <c:pt idx="54">
                  <c:v>80149</c:v>
                </c:pt>
                <c:pt idx="55">
                  <c:v>92056</c:v>
                </c:pt>
                <c:pt idx="56">
                  <c:v>179948</c:v>
                </c:pt>
                <c:pt idx="57">
                  <c:v>173143</c:v>
                </c:pt>
                <c:pt idx="58">
                  <c:v>57226</c:v>
                </c:pt>
                <c:pt idx="59">
                  <c:v>99736</c:v>
                </c:pt>
                <c:pt idx="60">
                  <c:v>18864</c:v>
                </c:pt>
                <c:pt idx="61">
                  <c:v>79226</c:v>
                </c:pt>
                <c:pt idx="62">
                  <c:v>-39517</c:v>
                </c:pt>
                <c:pt idx="63">
                  <c:v>81310</c:v>
                </c:pt>
                <c:pt idx="64">
                  <c:v>114600</c:v>
                </c:pt>
                <c:pt idx="65">
                  <c:v>149485</c:v>
                </c:pt>
                <c:pt idx="66">
                  <c:v>102576</c:v>
                </c:pt>
                <c:pt idx="67">
                  <c:v>175492</c:v>
                </c:pt>
                <c:pt idx="68">
                  <c:v>-5123</c:v>
                </c:pt>
                <c:pt idx="69">
                  <c:v>27326</c:v>
                </c:pt>
                <c:pt idx="70">
                  <c:v>37398</c:v>
                </c:pt>
                <c:pt idx="71">
                  <c:v>70079</c:v>
                </c:pt>
                <c:pt idx="72">
                  <c:v>121983</c:v>
                </c:pt>
                <c:pt idx="73">
                  <c:v>20322</c:v>
                </c:pt>
                <c:pt idx="74">
                  <c:v>77331</c:v>
                </c:pt>
                <c:pt idx="75">
                  <c:v>160440</c:v>
                </c:pt>
                <c:pt idx="76">
                  <c:v>111317</c:v>
                </c:pt>
                <c:pt idx="77">
                  <c:v>81095</c:v>
                </c:pt>
                <c:pt idx="78">
                  <c:v>12941</c:v>
                </c:pt>
                <c:pt idx="79">
                  <c:v>-7768</c:v>
                </c:pt>
                <c:pt idx="80">
                  <c:v>207146</c:v>
                </c:pt>
                <c:pt idx="81">
                  <c:v>164515</c:v>
                </c:pt>
                <c:pt idx="82">
                  <c:v>121462</c:v>
                </c:pt>
                <c:pt idx="83">
                  <c:v>-7731</c:v>
                </c:pt>
                <c:pt idx="84">
                  <c:v>44949</c:v>
                </c:pt>
                <c:pt idx="85">
                  <c:v>77461</c:v>
                </c:pt>
                <c:pt idx="86">
                  <c:v>43730</c:v>
                </c:pt>
                <c:pt idx="87">
                  <c:v>159120</c:v>
                </c:pt>
                <c:pt idx="88">
                  <c:v>80103</c:v>
                </c:pt>
                <c:pt idx="89">
                  <c:v>23977</c:v>
                </c:pt>
                <c:pt idx="90">
                  <c:v>95666</c:v>
                </c:pt>
                <c:pt idx="91">
                  <c:v>128454</c:v>
                </c:pt>
                <c:pt idx="92">
                  <c:v>19066</c:v>
                </c:pt>
                <c:pt idx="93">
                  <c:v>-4547</c:v>
                </c:pt>
                <c:pt idx="94">
                  <c:v>154306</c:v>
                </c:pt>
                <c:pt idx="95">
                  <c:v>69444</c:v>
                </c:pt>
                <c:pt idx="96">
                  <c:v>122742</c:v>
                </c:pt>
                <c:pt idx="97">
                  <c:v>97703</c:v>
                </c:pt>
                <c:pt idx="98">
                  <c:v>18063</c:v>
                </c:pt>
                <c:pt idx="99">
                  <c:v>82007</c:v>
                </c:pt>
                <c:pt idx="100">
                  <c:v>12204</c:v>
                </c:pt>
                <c:pt idx="101">
                  <c:v>40239</c:v>
                </c:pt>
                <c:pt idx="102">
                  <c:v>83791</c:v>
                </c:pt>
                <c:pt idx="103">
                  <c:v>89897</c:v>
                </c:pt>
                <c:pt idx="104">
                  <c:v>77629</c:v>
                </c:pt>
                <c:pt idx="105">
                  <c:v>-8930</c:v>
                </c:pt>
                <c:pt idx="106">
                  <c:v>169857</c:v>
                </c:pt>
                <c:pt idx="107">
                  <c:v>-37005</c:v>
                </c:pt>
                <c:pt idx="108">
                  <c:v>14373</c:v>
                </c:pt>
                <c:pt idx="109">
                  <c:v>70473</c:v>
                </c:pt>
                <c:pt idx="110">
                  <c:v>139397</c:v>
                </c:pt>
                <c:pt idx="111">
                  <c:v>35608</c:v>
                </c:pt>
                <c:pt idx="112">
                  <c:v>162616</c:v>
                </c:pt>
                <c:pt idx="113">
                  <c:v>24728</c:v>
                </c:pt>
                <c:pt idx="114">
                  <c:v>103398</c:v>
                </c:pt>
                <c:pt idx="115">
                  <c:v>107790</c:v>
                </c:pt>
                <c:pt idx="116">
                  <c:v>210987</c:v>
                </c:pt>
                <c:pt idx="117">
                  <c:v>134345</c:v>
                </c:pt>
                <c:pt idx="118">
                  <c:v>106248</c:v>
                </c:pt>
                <c:pt idx="119">
                  <c:v>89342</c:v>
                </c:pt>
                <c:pt idx="120">
                  <c:v>39271</c:v>
                </c:pt>
                <c:pt idx="121">
                  <c:v>217072</c:v>
                </c:pt>
                <c:pt idx="122">
                  <c:v>150370</c:v>
                </c:pt>
                <c:pt idx="123">
                  <c:v>51275</c:v>
                </c:pt>
                <c:pt idx="124">
                  <c:v>202596</c:v>
                </c:pt>
                <c:pt idx="125">
                  <c:v>54441</c:v>
                </c:pt>
                <c:pt idx="126">
                  <c:v>292359</c:v>
                </c:pt>
                <c:pt idx="127">
                  <c:v>-11372</c:v>
                </c:pt>
                <c:pt idx="128">
                  <c:v>214621</c:v>
                </c:pt>
                <c:pt idx="129">
                  <c:v>142469</c:v>
                </c:pt>
                <c:pt idx="130">
                  <c:v>92467</c:v>
                </c:pt>
                <c:pt idx="131">
                  <c:v>108423</c:v>
                </c:pt>
                <c:pt idx="132">
                  <c:v>144333</c:v>
                </c:pt>
                <c:pt idx="133">
                  <c:v>65912</c:v>
                </c:pt>
                <c:pt idx="134">
                  <c:v>115296</c:v>
                </c:pt>
                <c:pt idx="135">
                  <c:v>232941</c:v>
                </c:pt>
                <c:pt idx="136">
                  <c:v>139743</c:v>
                </c:pt>
                <c:pt idx="137">
                  <c:v>-2616</c:v>
                </c:pt>
                <c:pt idx="138">
                  <c:v>116956</c:v>
                </c:pt>
                <c:pt idx="139">
                  <c:v>21870</c:v>
                </c:pt>
                <c:pt idx="140">
                  <c:v>111027</c:v>
                </c:pt>
                <c:pt idx="141">
                  <c:v>142954</c:v>
                </c:pt>
                <c:pt idx="142">
                  <c:v>144101</c:v>
                </c:pt>
                <c:pt idx="143">
                  <c:v>116706</c:v>
                </c:pt>
                <c:pt idx="144">
                  <c:v>16867</c:v>
                </c:pt>
                <c:pt idx="145">
                  <c:v>12803</c:v>
                </c:pt>
                <c:pt idx="146">
                  <c:v>75288</c:v>
                </c:pt>
                <c:pt idx="147">
                  <c:v>85425</c:v>
                </c:pt>
                <c:pt idx="148">
                  <c:v>138072</c:v>
                </c:pt>
                <c:pt idx="149">
                  <c:v>121884</c:v>
                </c:pt>
                <c:pt idx="150">
                  <c:v>28986</c:v>
                </c:pt>
                <c:pt idx="151">
                  <c:v>17226</c:v>
                </c:pt>
                <c:pt idx="152">
                  <c:v>33050</c:v>
                </c:pt>
                <c:pt idx="153">
                  <c:v>120810</c:v>
                </c:pt>
                <c:pt idx="154">
                  <c:v>121536</c:v>
                </c:pt>
                <c:pt idx="155">
                  <c:v>78917</c:v>
                </c:pt>
                <c:pt idx="156">
                  <c:v>152172</c:v>
                </c:pt>
                <c:pt idx="157">
                  <c:v>62094</c:v>
                </c:pt>
                <c:pt idx="158">
                  <c:v>161290</c:v>
                </c:pt>
                <c:pt idx="159">
                  <c:v>24830</c:v>
                </c:pt>
                <c:pt idx="160">
                  <c:v>92758</c:v>
                </c:pt>
                <c:pt idx="161">
                  <c:v>86369</c:v>
                </c:pt>
                <c:pt idx="162">
                  <c:v>-30361</c:v>
                </c:pt>
                <c:pt idx="163">
                  <c:v>167963</c:v>
                </c:pt>
                <c:pt idx="164">
                  <c:v>76854</c:v>
                </c:pt>
                <c:pt idx="165">
                  <c:v>132194</c:v>
                </c:pt>
                <c:pt idx="166">
                  <c:v>115699</c:v>
                </c:pt>
                <c:pt idx="167">
                  <c:v>32872</c:v>
                </c:pt>
                <c:pt idx="168">
                  <c:v>73510</c:v>
                </c:pt>
                <c:pt idx="169">
                  <c:v>154429</c:v>
                </c:pt>
                <c:pt idx="170">
                  <c:v>37059</c:v>
                </c:pt>
                <c:pt idx="171">
                  <c:v>206560</c:v>
                </c:pt>
                <c:pt idx="172">
                  <c:v>135977</c:v>
                </c:pt>
                <c:pt idx="173">
                  <c:v>53688</c:v>
                </c:pt>
                <c:pt idx="174">
                  <c:v>-4795</c:v>
                </c:pt>
                <c:pt idx="175">
                  <c:v>150326</c:v>
                </c:pt>
                <c:pt idx="176">
                  <c:v>156515</c:v>
                </c:pt>
                <c:pt idx="177">
                  <c:v>47800</c:v>
                </c:pt>
                <c:pt idx="178">
                  <c:v>15418</c:v>
                </c:pt>
                <c:pt idx="179">
                  <c:v>29569</c:v>
                </c:pt>
                <c:pt idx="180">
                  <c:v>141639</c:v>
                </c:pt>
                <c:pt idx="181">
                  <c:v>105456</c:v>
                </c:pt>
                <c:pt idx="182">
                  <c:v>92316</c:v>
                </c:pt>
                <c:pt idx="183">
                  <c:v>-80142</c:v>
                </c:pt>
                <c:pt idx="184">
                  <c:v>142916</c:v>
                </c:pt>
                <c:pt idx="185">
                  <c:v>21669</c:v>
                </c:pt>
                <c:pt idx="186">
                  <c:v>93486</c:v>
                </c:pt>
                <c:pt idx="187">
                  <c:v>25160</c:v>
                </c:pt>
                <c:pt idx="188">
                  <c:v>96535</c:v>
                </c:pt>
                <c:pt idx="189">
                  <c:v>165788</c:v>
                </c:pt>
                <c:pt idx="190">
                  <c:v>12058</c:v>
                </c:pt>
                <c:pt idx="191">
                  <c:v>63954</c:v>
                </c:pt>
                <c:pt idx="192">
                  <c:v>49049</c:v>
                </c:pt>
                <c:pt idx="193">
                  <c:v>148771</c:v>
                </c:pt>
                <c:pt idx="194">
                  <c:v>91265</c:v>
                </c:pt>
                <c:pt idx="195">
                  <c:v>42867</c:v>
                </c:pt>
                <c:pt idx="196">
                  <c:v>-30156</c:v>
                </c:pt>
                <c:pt idx="197">
                  <c:v>158056</c:v>
                </c:pt>
                <c:pt idx="198">
                  <c:v>66971</c:v>
                </c:pt>
                <c:pt idx="199">
                  <c:v>144915</c:v>
                </c:pt>
                <c:pt idx="200">
                  <c:v>-16688</c:v>
                </c:pt>
                <c:pt idx="201">
                  <c:v>-621</c:v>
                </c:pt>
                <c:pt idx="202">
                  <c:v>10704</c:v>
                </c:pt>
                <c:pt idx="203">
                  <c:v>217909</c:v>
                </c:pt>
                <c:pt idx="204">
                  <c:v>218971</c:v>
                </c:pt>
                <c:pt idx="205">
                  <c:v>44665</c:v>
                </c:pt>
                <c:pt idx="206">
                  <c:v>127081</c:v>
                </c:pt>
                <c:pt idx="207">
                  <c:v>125112</c:v>
                </c:pt>
                <c:pt idx="208">
                  <c:v>56157</c:v>
                </c:pt>
                <c:pt idx="209">
                  <c:v>57366</c:v>
                </c:pt>
                <c:pt idx="210">
                  <c:v>47603</c:v>
                </c:pt>
                <c:pt idx="211">
                  <c:v>-69957</c:v>
                </c:pt>
                <c:pt idx="212">
                  <c:v>95798</c:v>
                </c:pt>
                <c:pt idx="213">
                  <c:v>113186</c:v>
                </c:pt>
                <c:pt idx="214">
                  <c:v>-34752</c:v>
                </c:pt>
                <c:pt idx="215">
                  <c:v>57463</c:v>
                </c:pt>
                <c:pt idx="216">
                  <c:v>81951</c:v>
                </c:pt>
                <c:pt idx="217">
                  <c:v>218331</c:v>
                </c:pt>
                <c:pt idx="218">
                  <c:v>59888</c:v>
                </c:pt>
                <c:pt idx="219">
                  <c:v>16323</c:v>
                </c:pt>
                <c:pt idx="220">
                  <c:v>47631</c:v>
                </c:pt>
                <c:pt idx="221">
                  <c:v>60233</c:v>
                </c:pt>
                <c:pt idx="222">
                  <c:v>34000</c:v>
                </c:pt>
                <c:pt idx="223">
                  <c:v>111713</c:v>
                </c:pt>
                <c:pt idx="224">
                  <c:v>57825</c:v>
                </c:pt>
                <c:pt idx="225">
                  <c:v>121144</c:v>
                </c:pt>
                <c:pt idx="226">
                  <c:v>26996</c:v>
                </c:pt>
                <c:pt idx="227">
                  <c:v>145326</c:v>
                </c:pt>
                <c:pt idx="228">
                  <c:v>102115</c:v>
                </c:pt>
                <c:pt idx="229">
                  <c:v>98948</c:v>
                </c:pt>
                <c:pt idx="230">
                  <c:v>-26559</c:v>
                </c:pt>
                <c:pt idx="231">
                  <c:v>67166</c:v>
                </c:pt>
                <c:pt idx="232">
                  <c:v>76823</c:v>
                </c:pt>
                <c:pt idx="233">
                  <c:v>119939</c:v>
                </c:pt>
                <c:pt idx="234">
                  <c:v>75757</c:v>
                </c:pt>
                <c:pt idx="235">
                  <c:v>114510</c:v>
                </c:pt>
                <c:pt idx="236">
                  <c:v>101427</c:v>
                </c:pt>
                <c:pt idx="237">
                  <c:v>42363</c:v>
                </c:pt>
                <c:pt idx="238">
                  <c:v>56525</c:v>
                </c:pt>
                <c:pt idx="239">
                  <c:v>10151</c:v>
                </c:pt>
                <c:pt idx="240">
                  <c:v>88625</c:v>
                </c:pt>
                <c:pt idx="241">
                  <c:v>174372</c:v>
                </c:pt>
                <c:pt idx="242">
                  <c:v>43488</c:v>
                </c:pt>
                <c:pt idx="243">
                  <c:v>80467</c:v>
                </c:pt>
                <c:pt idx="244">
                  <c:v>73795</c:v>
                </c:pt>
                <c:pt idx="245">
                  <c:v>77522</c:v>
                </c:pt>
                <c:pt idx="246">
                  <c:v>-11336</c:v>
                </c:pt>
                <c:pt idx="247">
                  <c:v>82478</c:v>
                </c:pt>
                <c:pt idx="248">
                  <c:v>76273</c:v>
                </c:pt>
                <c:pt idx="249">
                  <c:v>68602</c:v>
                </c:pt>
                <c:pt idx="250">
                  <c:v>25220</c:v>
                </c:pt>
                <c:pt idx="251">
                  <c:v>103609</c:v>
                </c:pt>
                <c:pt idx="252">
                  <c:v>164098</c:v>
                </c:pt>
                <c:pt idx="253">
                  <c:v>75891</c:v>
                </c:pt>
                <c:pt idx="254">
                  <c:v>21311</c:v>
                </c:pt>
                <c:pt idx="255">
                  <c:v>57557</c:v>
                </c:pt>
                <c:pt idx="256">
                  <c:v>166153</c:v>
                </c:pt>
                <c:pt idx="257">
                  <c:v>78312</c:v>
                </c:pt>
                <c:pt idx="258">
                  <c:v>226220</c:v>
                </c:pt>
                <c:pt idx="259">
                  <c:v>98532</c:v>
                </c:pt>
                <c:pt idx="260">
                  <c:v>159553</c:v>
                </c:pt>
                <c:pt idx="261">
                  <c:v>-11430</c:v>
                </c:pt>
                <c:pt idx="262">
                  <c:v>105853</c:v>
                </c:pt>
                <c:pt idx="263">
                  <c:v>60288</c:v>
                </c:pt>
                <c:pt idx="264">
                  <c:v>66602</c:v>
                </c:pt>
                <c:pt idx="265">
                  <c:v>93711</c:v>
                </c:pt>
                <c:pt idx="266">
                  <c:v>66588</c:v>
                </c:pt>
                <c:pt idx="267">
                  <c:v>54009</c:v>
                </c:pt>
                <c:pt idx="268">
                  <c:v>107315</c:v>
                </c:pt>
                <c:pt idx="269">
                  <c:v>130568</c:v>
                </c:pt>
                <c:pt idx="270">
                  <c:v>6022</c:v>
                </c:pt>
                <c:pt idx="271">
                  <c:v>86979</c:v>
                </c:pt>
                <c:pt idx="272">
                  <c:v>45582</c:v>
                </c:pt>
                <c:pt idx="273">
                  <c:v>133889</c:v>
                </c:pt>
                <c:pt idx="274">
                  <c:v>122755</c:v>
                </c:pt>
                <c:pt idx="275">
                  <c:v>149968</c:v>
                </c:pt>
                <c:pt idx="276">
                  <c:v>97153</c:v>
                </c:pt>
                <c:pt idx="277">
                  <c:v>22787</c:v>
                </c:pt>
                <c:pt idx="278">
                  <c:v>170841</c:v>
                </c:pt>
                <c:pt idx="279">
                  <c:v>45941</c:v>
                </c:pt>
                <c:pt idx="280">
                  <c:v>74393</c:v>
                </c:pt>
                <c:pt idx="281">
                  <c:v>114739</c:v>
                </c:pt>
                <c:pt idx="282">
                  <c:v>97895</c:v>
                </c:pt>
                <c:pt idx="283">
                  <c:v>26480</c:v>
                </c:pt>
                <c:pt idx="284">
                  <c:v>-39599</c:v>
                </c:pt>
                <c:pt idx="285">
                  <c:v>14642</c:v>
                </c:pt>
                <c:pt idx="286">
                  <c:v>114717</c:v>
                </c:pt>
                <c:pt idx="287">
                  <c:v>38831</c:v>
                </c:pt>
                <c:pt idx="288">
                  <c:v>64884</c:v>
                </c:pt>
                <c:pt idx="289">
                  <c:v>62759</c:v>
                </c:pt>
                <c:pt idx="290">
                  <c:v>108974</c:v>
                </c:pt>
                <c:pt idx="291">
                  <c:v>-18981</c:v>
                </c:pt>
                <c:pt idx="292">
                  <c:v>72089</c:v>
                </c:pt>
                <c:pt idx="293">
                  <c:v>139279</c:v>
                </c:pt>
                <c:pt idx="294">
                  <c:v>152846</c:v>
                </c:pt>
                <c:pt idx="295">
                  <c:v>-36979</c:v>
                </c:pt>
                <c:pt idx="296">
                  <c:v>109415</c:v>
                </c:pt>
                <c:pt idx="297">
                  <c:v>-3729</c:v>
                </c:pt>
                <c:pt idx="298">
                  <c:v>71754</c:v>
                </c:pt>
                <c:pt idx="299">
                  <c:v>108431</c:v>
                </c:pt>
                <c:pt idx="300">
                  <c:v>73988</c:v>
                </c:pt>
                <c:pt idx="301">
                  <c:v>142027</c:v>
                </c:pt>
                <c:pt idx="302">
                  <c:v>79824</c:v>
                </c:pt>
                <c:pt idx="303">
                  <c:v>23542</c:v>
                </c:pt>
                <c:pt idx="304">
                  <c:v>21250</c:v>
                </c:pt>
                <c:pt idx="305">
                  <c:v>149961</c:v>
                </c:pt>
                <c:pt idx="306">
                  <c:v>110452</c:v>
                </c:pt>
                <c:pt idx="307">
                  <c:v>77515</c:v>
                </c:pt>
                <c:pt idx="308">
                  <c:v>104035</c:v>
                </c:pt>
                <c:pt idx="309">
                  <c:v>36382</c:v>
                </c:pt>
                <c:pt idx="310">
                  <c:v>49298</c:v>
                </c:pt>
                <c:pt idx="311">
                  <c:v>161199</c:v>
                </c:pt>
                <c:pt idx="312">
                  <c:v>142965</c:v>
                </c:pt>
                <c:pt idx="313">
                  <c:v>44943</c:v>
                </c:pt>
                <c:pt idx="314">
                  <c:v>30023</c:v>
                </c:pt>
                <c:pt idx="315">
                  <c:v>157465</c:v>
                </c:pt>
                <c:pt idx="316">
                  <c:v>109425</c:v>
                </c:pt>
                <c:pt idx="317">
                  <c:v>-18637</c:v>
                </c:pt>
                <c:pt idx="318">
                  <c:v>101944</c:v>
                </c:pt>
                <c:pt idx="319">
                  <c:v>122855</c:v>
                </c:pt>
                <c:pt idx="320">
                  <c:v>81406</c:v>
                </c:pt>
                <c:pt idx="321">
                  <c:v>39442</c:v>
                </c:pt>
                <c:pt idx="322">
                  <c:v>8760</c:v>
                </c:pt>
                <c:pt idx="323">
                  <c:v>47301</c:v>
                </c:pt>
                <c:pt idx="324">
                  <c:v>38404</c:v>
                </c:pt>
                <c:pt idx="325">
                  <c:v>125203</c:v>
                </c:pt>
                <c:pt idx="326">
                  <c:v>101798</c:v>
                </c:pt>
                <c:pt idx="327">
                  <c:v>125398</c:v>
                </c:pt>
                <c:pt idx="328">
                  <c:v>130955</c:v>
                </c:pt>
                <c:pt idx="329">
                  <c:v>45715</c:v>
                </c:pt>
                <c:pt idx="330">
                  <c:v>39426</c:v>
                </c:pt>
                <c:pt idx="331">
                  <c:v>26767</c:v>
                </c:pt>
                <c:pt idx="332">
                  <c:v>131390</c:v>
                </c:pt>
                <c:pt idx="333">
                  <c:v>57564</c:v>
                </c:pt>
                <c:pt idx="334">
                  <c:v>51401</c:v>
                </c:pt>
                <c:pt idx="335">
                  <c:v>119222</c:v>
                </c:pt>
                <c:pt idx="336">
                  <c:v>107776</c:v>
                </c:pt>
                <c:pt idx="337">
                  <c:v>86154</c:v>
                </c:pt>
                <c:pt idx="338">
                  <c:v>-39543</c:v>
                </c:pt>
                <c:pt idx="339">
                  <c:v>188590</c:v>
                </c:pt>
                <c:pt idx="340">
                  <c:v>76599</c:v>
                </c:pt>
                <c:pt idx="341">
                  <c:v>34943</c:v>
                </c:pt>
                <c:pt idx="342">
                  <c:v>103071</c:v>
                </c:pt>
                <c:pt idx="343">
                  <c:v>95000</c:v>
                </c:pt>
                <c:pt idx="344">
                  <c:v>87547</c:v>
                </c:pt>
                <c:pt idx="345">
                  <c:v>51175</c:v>
                </c:pt>
                <c:pt idx="346">
                  <c:v>88254</c:v>
                </c:pt>
                <c:pt idx="347">
                  <c:v>86162</c:v>
                </c:pt>
                <c:pt idx="348">
                  <c:v>153914</c:v>
                </c:pt>
                <c:pt idx="349">
                  <c:v>32094</c:v>
                </c:pt>
                <c:pt idx="350">
                  <c:v>50426</c:v>
                </c:pt>
                <c:pt idx="351">
                  <c:v>-51067</c:v>
                </c:pt>
                <c:pt idx="352">
                  <c:v>107087</c:v>
                </c:pt>
                <c:pt idx="353">
                  <c:v>41753</c:v>
                </c:pt>
                <c:pt idx="354">
                  <c:v>55351</c:v>
                </c:pt>
                <c:pt idx="355">
                  <c:v>71600</c:v>
                </c:pt>
                <c:pt idx="356">
                  <c:v>120284</c:v>
                </c:pt>
                <c:pt idx="357">
                  <c:v>58184</c:v>
                </c:pt>
                <c:pt idx="358">
                  <c:v>75190</c:v>
                </c:pt>
                <c:pt idx="359">
                  <c:v>101026</c:v>
                </c:pt>
                <c:pt idx="360">
                  <c:v>173075</c:v>
                </c:pt>
                <c:pt idx="361">
                  <c:v>74143</c:v>
                </c:pt>
                <c:pt idx="362">
                  <c:v>845</c:v>
                </c:pt>
                <c:pt idx="363">
                  <c:v>198851</c:v>
                </c:pt>
                <c:pt idx="364">
                  <c:v>155892</c:v>
                </c:pt>
                <c:pt idx="365">
                  <c:v>127856</c:v>
                </c:pt>
                <c:pt idx="366">
                  <c:v>114767</c:v>
                </c:pt>
                <c:pt idx="367">
                  <c:v>14876</c:v>
                </c:pt>
                <c:pt idx="368">
                  <c:v>162059</c:v>
                </c:pt>
                <c:pt idx="369">
                  <c:v>31648</c:v>
                </c:pt>
                <c:pt idx="370">
                  <c:v>46155</c:v>
                </c:pt>
                <c:pt idx="371">
                  <c:v>13339</c:v>
                </c:pt>
                <c:pt idx="372">
                  <c:v>-20435</c:v>
                </c:pt>
                <c:pt idx="373">
                  <c:v>31801</c:v>
                </c:pt>
                <c:pt idx="374">
                  <c:v>114451</c:v>
                </c:pt>
                <c:pt idx="375">
                  <c:v>13335</c:v>
                </c:pt>
                <c:pt idx="376">
                  <c:v>88560</c:v>
                </c:pt>
                <c:pt idx="377">
                  <c:v>164798</c:v>
                </c:pt>
                <c:pt idx="378">
                  <c:v>40064</c:v>
                </c:pt>
                <c:pt idx="379">
                  <c:v>37553</c:v>
                </c:pt>
                <c:pt idx="380">
                  <c:v>8771</c:v>
                </c:pt>
                <c:pt idx="381">
                  <c:v>112599</c:v>
                </c:pt>
                <c:pt idx="382">
                  <c:v>166869</c:v>
                </c:pt>
                <c:pt idx="383">
                  <c:v>11371</c:v>
                </c:pt>
                <c:pt idx="384">
                  <c:v>89989</c:v>
                </c:pt>
                <c:pt idx="385">
                  <c:v>117118</c:v>
                </c:pt>
                <c:pt idx="386">
                  <c:v>86210</c:v>
                </c:pt>
                <c:pt idx="387">
                  <c:v>44179</c:v>
                </c:pt>
                <c:pt idx="388">
                  <c:v>-63786</c:v>
                </c:pt>
                <c:pt idx="389">
                  <c:v>197067</c:v>
                </c:pt>
                <c:pt idx="390">
                  <c:v>79230</c:v>
                </c:pt>
                <c:pt idx="391">
                  <c:v>181857</c:v>
                </c:pt>
                <c:pt idx="392">
                  <c:v>76531</c:v>
                </c:pt>
                <c:pt idx="393">
                  <c:v>125909</c:v>
                </c:pt>
                <c:pt idx="394">
                  <c:v>188300</c:v>
                </c:pt>
                <c:pt idx="395">
                  <c:v>58044</c:v>
                </c:pt>
                <c:pt idx="396">
                  <c:v>123402</c:v>
                </c:pt>
                <c:pt idx="397">
                  <c:v>41616</c:v>
                </c:pt>
                <c:pt idx="398">
                  <c:v>41325</c:v>
                </c:pt>
                <c:pt idx="399">
                  <c:v>121361</c:v>
                </c:pt>
                <c:pt idx="400">
                  <c:v>53298</c:v>
                </c:pt>
                <c:pt idx="401">
                  <c:v>98334</c:v>
                </c:pt>
                <c:pt idx="402">
                  <c:v>24047</c:v>
                </c:pt>
                <c:pt idx="403">
                  <c:v>16607</c:v>
                </c:pt>
                <c:pt idx="404">
                  <c:v>-42946</c:v>
                </c:pt>
                <c:pt idx="405">
                  <c:v>-60212</c:v>
                </c:pt>
                <c:pt idx="406">
                  <c:v>120195</c:v>
                </c:pt>
                <c:pt idx="407">
                  <c:v>19924</c:v>
                </c:pt>
                <c:pt idx="408">
                  <c:v>97105</c:v>
                </c:pt>
                <c:pt idx="409">
                  <c:v>-7359</c:v>
                </c:pt>
                <c:pt idx="410">
                  <c:v>89321</c:v>
                </c:pt>
                <c:pt idx="411">
                  <c:v>48403</c:v>
                </c:pt>
                <c:pt idx="412">
                  <c:v>-56495</c:v>
                </c:pt>
                <c:pt idx="413">
                  <c:v>152016</c:v>
                </c:pt>
                <c:pt idx="414">
                  <c:v>61076</c:v>
                </c:pt>
                <c:pt idx="415">
                  <c:v>132743</c:v>
                </c:pt>
                <c:pt idx="416">
                  <c:v>95078</c:v>
                </c:pt>
                <c:pt idx="417">
                  <c:v>141613</c:v>
                </c:pt>
                <c:pt idx="418">
                  <c:v>181477</c:v>
                </c:pt>
                <c:pt idx="419">
                  <c:v>154187</c:v>
                </c:pt>
                <c:pt idx="420">
                  <c:v>-4202</c:v>
                </c:pt>
                <c:pt idx="421">
                  <c:v>96450</c:v>
                </c:pt>
                <c:pt idx="422">
                  <c:v>-12252</c:v>
                </c:pt>
                <c:pt idx="423">
                  <c:v>10226</c:v>
                </c:pt>
                <c:pt idx="424">
                  <c:v>115495</c:v>
                </c:pt>
                <c:pt idx="425">
                  <c:v>40780</c:v>
                </c:pt>
                <c:pt idx="426">
                  <c:v>136450</c:v>
                </c:pt>
                <c:pt idx="427">
                  <c:v>185707</c:v>
                </c:pt>
                <c:pt idx="428">
                  <c:v>-6467</c:v>
                </c:pt>
                <c:pt idx="429">
                  <c:v>134124</c:v>
                </c:pt>
                <c:pt idx="430">
                  <c:v>92922</c:v>
                </c:pt>
                <c:pt idx="431">
                  <c:v>73405</c:v>
                </c:pt>
                <c:pt idx="432">
                  <c:v>205295</c:v>
                </c:pt>
                <c:pt idx="433">
                  <c:v>37440</c:v>
                </c:pt>
                <c:pt idx="434">
                  <c:v>140535</c:v>
                </c:pt>
                <c:pt idx="435">
                  <c:v>198803</c:v>
                </c:pt>
                <c:pt idx="436">
                  <c:v>13927</c:v>
                </c:pt>
                <c:pt idx="437">
                  <c:v>80480</c:v>
                </c:pt>
                <c:pt idx="438">
                  <c:v>117549</c:v>
                </c:pt>
                <c:pt idx="439">
                  <c:v>110830</c:v>
                </c:pt>
                <c:pt idx="440">
                  <c:v>10289</c:v>
                </c:pt>
                <c:pt idx="441">
                  <c:v>-11963</c:v>
                </c:pt>
                <c:pt idx="442">
                  <c:v>153724</c:v>
                </c:pt>
                <c:pt idx="443">
                  <c:v>84748</c:v>
                </c:pt>
                <c:pt idx="444">
                  <c:v>52958</c:v>
                </c:pt>
                <c:pt idx="445">
                  <c:v>144151</c:v>
                </c:pt>
                <c:pt idx="446">
                  <c:v>110499</c:v>
                </c:pt>
                <c:pt idx="447">
                  <c:v>110979</c:v>
                </c:pt>
                <c:pt idx="448">
                  <c:v>58213</c:v>
                </c:pt>
                <c:pt idx="449">
                  <c:v>171050</c:v>
                </c:pt>
                <c:pt idx="450">
                  <c:v>71380</c:v>
                </c:pt>
                <c:pt idx="451">
                  <c:v>43952</c:v>
                </c:pt>
                <c:pt idx="452">
                  <c:v>22248</c:v>
                </c:pt>
                <c:pt idx="453">
                  <c:v>65438</c:v>
                </c:pt>
                <c:pt idx="454">
                  <c:v>70636</c:v>
                </c:pt>
                <c:pt idx="455">
                  <c:v>62953</c:v>
                </c:pt>
                <c:pt idx="456">
                  <c:v>114700</c:v>
                </c:pt>
                <c:pt idx="457">
                  <c:v>19058</c:v>
                </c:pt>
                <c:pt idx="458">
                  <c:v>36826</c:v>
                </c:pt>
                <c:pt idx="459">
                  <c:v>65360</c:v>
                </c:pt>
                <c:pt idx="460">
                  <c:v>7814</c:v>
                </c:pt>
                <c:pt idx="461">
                  <c:v>244145</c:v>
                </c:pt>
                <c:pt idx="462">
                  <c:v>129346</c:v>
                </c:pt>
                <c:pt idx="463">
                  <c:v>55559</c:v>
                </c:pt>
                <c:pt idx="464">
                  <c:v>127854</c:v>
                </c:pt>
                <c:pt idx="465">
                  <c:v>35765</c:v>
                </c:pt>
                <c:pt idx="466">
                  <c:v>78623</c:v>
                </c:pt>
                <c:pt idx="467">
                  <c:v>204217</c:v>
                </c:pt>
                <c:pt idx="468">
                  <c:v>133368</c:v>
                </c:pt>
                <c:pt idx="469">
                  <c:v>95856</c:v>
                </c:pt>
                <c:pt idx="470">
                  <c:v>35454</c:v>
                </c:pt>
                <c:pt idx="471">
                  <c:v>-46808</c:v>
                </c:pt>
                <c:pt idx="472">
                  <c:v>158715</c:v>
                </c:pt>
                <c:pt idx="473">
                  <c:v>155217</c:v>
                </c:pt>
                <c:pt idx="474">
                  <c:v>163543</c:v>
                </c:pt>
                <c:pt idx="475">
                  <c:v>188790</c:v>
                </c:pt>
                <c:pt idx="476">
                  <c:v>143913</c:v>
                </c:pt>
                <c:pt idx="477">
                  <c:v>97564</c:v>
                </c:pt>
                <c:pt idx="478">
                  <c:v>48367</c:v>
                </c:pt>
                <c:pt idx="479">
                  <c:v>99261</c:v>
                </c:pt>
                <c:pt idx="480">
                  <c:v>70453</c:v>
                </c:pt>
                <c:pt idx="481">
                  <c:v>102136</c:v>
                </c:pt>
                <c:pt idx="482">
                  <c:v>-1583</c:v>
                </c:pt>
                <c:pt idx="483">
                  <c:v>227738</c:v>
                </c:pt>
                <c:pt idx="484">
                  <c:v>96008</c:v>
                </c:pt>
                <c:pt idx="485">
                  <c:v>136942</c:v>
                </c:pt>
                <c:pt idx="486">
                  <c:v>91151</c:v>
                </c:pt>
                <c:pt idx="487">
                  <c:v>-10897</c:v>
                </c:pt>
                <c:pt idx="488">
                  <c:v>116118</c:v>
                </c:pt>
                <c:pt idx="489">
                  <c:v>978</c:v>
                </c:pt>
                <c:pt idx="490">
                  <c:v>61476</c:v>
                </c:pt>
                <c:pt idx="491">
                  <c:v>109517</c:v>
                </c:pt>
                <c:pt idx="492">
                  <c:v>11710</c:v>
                </c:pt>
                <c:pt idx="493">
                  <c:v>17792</c:v>
                </c:pt>
                <c:pt idx="494">
                  <c:v>-15279</c:v>
                </c:pt>
                <c:pt idx="495">
                  <c:v>203591</c:v>
                </c:pt>
                <c:pt idx="496">
                  <c:v>222698</c:v>
                </c:pt>
                <c:pt idx="497">
                  <c:v>106932</c:v>
                </c:pt>
              </c:numCache>
            </c:numRef>
          </c:yVal>
          <c:smooth val="0"/>
          <c:extLst>
            <c:ext xmlns:c16="http://schemas.microsoft.com/office/drawing/2014/chart" uri="{C3380CC4-5D6E-409C-BE32-E72D297353CC}">
              <c16:uniqueId val="{00000000-237B-4E79-98A2-F956C5E6195A}"/>
            </c:ext>
          </c:extLst>
        </c:ser>
        <c:dLbls>
          <c:showLegendKey val="0"/>
          <c:showVal val="0"/>
          <c:showCatName val="0"/>
          <c:showSerName val="0"/>
          <c:showPercent val="0"/>
          <c:showBubbleSize val="0"/>
        </c:dLbls>
        <c:axId val="1449789471"/>
        <c:axId val="1449790911"/>
      </c:scatterChart>
      <c:valAx>
        <c:axId val="1449789471"/>
        <c:scaling>
          <c:orientation val="minMax"/>
          <c:min val="20000"/>
        </c:scaling>
        <c:delete val="0"/>
        <c:axPos val="b"/>
        <c:numFmt formatCode="_-[$£-809]* #,##0_-;\-[$£-809]* #,##0_-;_-[$£-809]* &quot;-&quot;_-;_-@_-"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9790911"/>
        <c:crosses val="autoZero"/>
        <c:crossBetween val="midCat"/>
      </c:valAx>
      <c:valAx>
        <c:axId val="1449790911"/>
        <c:scaling>
          <c:orientation val="minMax"/>
        </c:scaling>
        <c:delete val="0"/>
        <c:axPos val="l"/>
        <c:numFmt formatCode="_-[$£-809]* #,##0_-;\-[$£-809]* #,##0_-;_-[$£-809]*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9789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table!Interest income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Interest</a:t>
            </a:r>
            <a:r>
              <a:rPr lang="en-US" b="1" baseline="0">
                <a:solidFill>
                  <a:sysClr val="windowText" lastClr="000000"/>
                </a:solidFill>
              </a:rPr>
              <a:t> Income</a:t>
            </a:r>
            <a:endParaRPr lang="en-US" b="1">
              <a:solidFill>
                <a:sysClr val="windowText" lastClr="000000"/>
              </a:solidFill>
            </a:endParaRP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table'!$B$77</c:f>
              <c:strCache>
                <c:ptCount val="1"/>
                <c:pt idx="0">
                  <c:v>Total</c:v>
                </c:pt>
              </c:strCache>
            </c:strRef>
          </c:tx>
          <c:spPr>
            <a:solidFill>
              <a:srgbClr val="7030A0"/>
            </a:solidFill>
            <a:ln>
              <a:noFill/>
            </a:ln>
            <a:effectLst/>
          </c:spPr>
          <c:invertIfNegative val="0"/>
          <c:cat>
            <c:strRef>
              <c:f>'Pivot table'!$A$78:$A$83</c:f>
              <c:strCache>
                <c:ptCount val="5"/>
                <c:pt idx="0">
                  <c:v>GTBank</c:v>
                </c:pt>
                <c:pt idx="1">
                  <c:v>Zenith Bank</c:v>
                </c:pt>
                <c:pt idx="2">
                  <c:v>UBA</c:v>
                </c:pt>
                <c:pt idx="3">
                  <c:v>First Bank</c:v>
                </c:pt>
                <c:pt idx="4">
                  <c:v>Access Bank</c:v>
                </c:pt>
              </c:strCache>
            </c:strRef>
          </c:cat>
          <c:val>
            <c:numRef>
              <c:f>'Pivot table'!$B$78:$B$83</c:f>
              <c:numCache>
                <c:formatCode>_-[$£-809]* #,##0_-;\-[$£-809]* #,##0_-;_-[$£-809]* "-"??_-;_-@_-</c:formatCode>
                <c:ptCount val="5"/>
                <c:pt idx="0">
                  <c:v>13104977</c:v>
                </c:pt>
                <c:pt idx="1">
                  <c:v>12930125</c:v>
                </c:pt>
                <c:pt idx="2">
                  <c:v>12892324</c:v>
                </c:pt>
                <c:pt idx="3">
                  <c:v>12675845</c:v>
                </c:pt>
                <c:pt idx="4">
                  <c:v>11694123</c:v>
                </c:pt>
              </c:numCache>
            </c:numRef>
          </c:val>
          <c:extLst>
            <c:ext xmlns:c16="http://schemas.microsoft.com/office/drawing/2014/chart" uri="{C3380CC4-5D6E-409C-BE32-E72D297353CC}">
              <c16:uniqueId val="{00000000-68C3-4DB0-B2A9-21D149D039C8}"/>
            </c:ext>
          </c:extLst>
        </c:ser>
        <c:dLbls>
          <c:showLegendKey val="0"/>
          <c:showVal val="0"/>
          <c:showCatName val="0"/>
          <c:showSerName val="0"/>
          <c:showPercent val="0"/>
          <c:showBubbleSize val="0"/>
        </c:dLbls>
        <c:gapWidth val="243"/>
        <c:axId val="1992291807"/>
        <c:axId val="1992293727"/>
      </c:barChart>
      <c:catAx>
        <c:axId val="199229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3727"/>
        <c:crosses val="autoZero"/>
        <c:auto val="1"/>
        <c:lblAlgn val="ctr"/>
        <c:lblOffset val="100"/>
        <c:noMultiLvlLbl val="0"/>
      </c:catAx>
      <c:valAx>
        <c:axId val="1992293727"/>
        <c:scaling>
          <c:orientation val="minMax"/>
          <c:max val="14000000"/>
          <c:min val="200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table!Net interest income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Total Net Interest Income</a:t>
            </a:r>
            <a:endParaRPr lang="en-US" b="1">
              <a:solidFill>
                <a:schemeClr val="tx1"/>
              </a:solidFill>
            </a:endParaRPr>
          </a:p>
        </c:rich>
      </c:tx>
      <c:overlay val="0"/>
      <c:spPr>
        <a:solidFill>
          <a:schemeClr val="accent4">
            <a:lumMod val="40000"/>
            <a:lumOff val="60000"/>
          </a:schemeClr>
        </a:solidFill>
        <a:ln>
          <a:solidFill>
            <a:srgbClr val="7030A0">
              <a:alpha val="80000"/>
            </a:srgb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rgbClr val="7030A0"/>
            </a:solidFill>
            <a:ln>
              <a:noFill/>
            </a:ln>
            <a:effectLst/>
          </c:spPr>
          <c:invertIfNegative val="0"/>
          <c:cat>
            <c:strRef>
              <c:f>'Pivot table'!$A$36:$A$41</c:f>
              <c:strCache>
                <c:ptCount val="5"/>
                <c:pt idx="0">
                  <c:v>GTBank</c:v>
                </c:pt>
                <c:pt idx="1">
                  <c:v>UBA</c:v>
                </c:pt>
                <c:pt idx="2">
                  <c:v>Zenith Bank</c:v>
                </c:pt>
                <c:pt idx="3">
                  <c:v>First Bank</c:v>
                </c:pt>
                <c:pt idx="4">
                  <c:v>Access Bank</c:v>
                </c:pt>
              </c:strCache>
            </c:strRef>
          </c:cat>
          <c:val>
            <c:numRef>
              <c:f>'Pivot table'!$B$36:$B$41</c:f>
              <c:numCache>
                <c:formatCode>_-[$£-809]* #,##0_-;\-[$£-809]* #,##0_-;_-[$£-809]* "-"??_-;_-@_-</c:formatCode>
                <c:ptCount val="5"/>
                <c:pt idx="0">
                  <c:v>8751245</c:v>
                </c:pt>
                <c:pt idx="1">
                  <c:v>8510826</c:v>
                </c:pt>
                <c:pt idx="2">
                  <c:v>8159241</c:v>
                </c:pt>
                <c:pt idx="3">
                  <c:v>8140473</c:v>
                </c:pt>
                <c:pt idx="4">
                  <c:v>7211499</c:v>
                </c:pt>
              </c:numCache>
            </c:numRef>
          </c:val>
          <c:extLst>
            <c:ext xmlns:c16="http://schemas.microsoft.com/office/drawing/2014/chart" uri="{C3380CC4-5D6E-409C-BE32-E72D297353CC}">
              <c16:uniqueId val="{00000000-7E52-4035-9D1D-9FEE9AF9DC16}"/>
            </c:ext>
          </c:extLst>
        </c:ser>
        <c:dLbls>
          <c:showLegendKey val="0"/>
          <c:showVal val="0"/>
          <c:showCatName val="0"/>
          <c:showSerName val="0"/>
          <c:showPercent val="0"/>
          <c:showBubbleSize val="0"/>
        </c:dLbls>
        <c:gapWidth val="219"/>
        <c:overlap val="-27"/>
        <c:axId val="47287359"/>
        <c:axId val="47288319"/>
      </c:barChart>
      <c:catAx>
        <c:axId val="4728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288319"/>
        <c:crosses val="autoZero"/>
        <c:auto val="1"/>
        <c:lblAlgn val="ctr"/>
        <c:lblOffset val="100"/>
        <c:noMultiLvlLbl val="0"/>
      </c:catAx>
      <c:valAx>
        <c:axId val="47288319"/>
        <c:scaling>
          <c:orientation val="minMax"/>
          <c:min val="135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287359"/>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Profit Before Tax</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7030A0"/>
            </a:solidFill>
            <a:ln>
              <a:noFill/>
            </a:ln>
            <a:effectLst/>
          </c:spPr>
          <c:invertIfNegative val="0"/>
          <c:cat>
            <c:strLit>
              <c:ptCount val="5"/>
              <c:pt idx="0">
                <c:v>Access Bank</c:v>
              </c:pt>
              <c:pt idx="1">
                <c:v>Zenith Bank</c:v>
              </c:pt>
              <c:pt idx="2">
                <c:v>UBA</c:v>
              </c:pt>
              <c:pt idx="3">
                <c:v>First Bank</c:v>
              </c:pt>
              <c:pt idx="4">
                <c:v>GTBank</c:v>
              </c:pt>
            </c:strLit>
          </c:cat>
          <c:val>
            <c:numLit>
              <c:formatCode>General</c:formatCode>
              <c:ptCount val="5"/>
              <c:pt idx="0">
                <c:v>8531859</c:v>
              </c:pt>
              <c:pt idx="1">
                <c:v>8812330</c:v>
              </c:pt>
              <c:pt idx="2">
                <c:v>9185660</c:v>
              </c:pt>
              <c:pt idx="3">
                <c:v>9577523</c:v>
              </c:pt>
              <c:pt idx="4">
                <c:v>9975392</c:v>
              </c:pt>
            </c:numLit>
          </c:val>
          <c:extLst>
            <c:ext xmlns:c16="http://schemas.microsoft.com/office/drawing/2014/chart" uri="{C3380CC4-5D6E-409C-BE32-E72D297353CC}">
              <c16:uniqueId val="{00000000-8B9A-4494-9F32-5FFD63C96C2B}"/>
            </c:ext>
          </c:extLst>
        </c:ser>
        <c:dLbls>
          <c:showLegendKey val="0"/>
          <c:showVal val="0"/>
          <c:showCatName val="0"/>
          <c:showSerName val="0"/>
          <c:showPercent val="0"/>
          <c:showBubbleSize val="0"/>
        </c:dLbls>
        <c:gapWidth val="182"/>
        <c:axId val="1992287487"/>
        <c:axId val="1992290847"/>
      </c:barChart>
      <c:catAx>
        <c:axId val="199228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90847"/>
        <c:crosses val="autoZero"/>
        <c:auto val="1"/>
        <c:lblAlgn val="ctr"/>
        <c:lblOffset val="100"/>
        <c:noMultiLvlLbl val="0"/>
      </c:catAx>
      <c:valAx>
        <c:axId val="1992290847"/>
        <c:scaling>
          <c:orientation val="minMax"/>
          <c:min val="1500000"/>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92287487"/>
        <c:crosses val="autoZero"/>
        <c:crossBetween val="between"/>
        <c:majorUnit val="2400000"/>
        <c:minorUnit val="5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[Nigerian_Banks_IncomeStatement_2020_2024.xlsx]Pivot table!Operating income</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Total Operating Income</a:t>
            </a:r>
            <a:endParaRPr lang="en-US" b="1">
              <a:solidFill>
                <a:sysClr val="windowText" lastClr="000000"/>
              </a:solidFill>
            </a:endParaRPr>
          </a:p>
        </c:rich>
      </c:tx>
      <c:overlay val="0"/>
      <c:spPr>
        <a:solidFill>
          <a:schemeClr val="accent4">
            <a:lumMod val="40000"/>
            <a:lumOff val="60000"/>
          </a:schemeClr>
        </a:solidFill>
        <a:ln>
          <a:solidFill>
            <a:schemeClr val="accent4">
              <a:lumMod val="50000"/>
              <a:alpha val="80000"/>
            </a:schemeClr>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rgbClr val="7030A0"/>
              </a:solidFill>
              <a:round/>
            </a:ln>
            <a:effectLst/>
          </c:spPr>
          <c:marker>
            <c:symbol val="none"/>
          </c:marker>
          <c:cat>
            <c:strRef>
              <c:f>'Pivot table'!$A$4:$A$9</c:f>
              <c:strCache>
                <c:ptCount val="5"/>
                <c:pt idx="0">
                  <c:v>GTBank</c:v>
                </c:pt>
                <c:pt idx="1">
                  <c:v>First Bank</c:v>
                </c:pt>
                <c:pt idx="2">
                  <c:v>UBA</c:v>
                </c:pt>
                <c:pt idx="3">
                  <c:v>Zenith Bank</c:v>
                </c:pt>
                <c:pt idx="4">
                  <c:v>Access Bank</c:v>
                </c:pt>
              </c:strCache>
            </c:strRef>
          </c:cat>
          <c:val>
            <c:numRef>
              <c:f>'Pivot table'!$B$4:$B$9</c:f>
              <c:numCache>
                <c:formatCode>_-[$£-809]* #,##0_-;\-[$£-809]* #,##0_-;_-[$£-809]* "-"??_-;_-@_-</c:formatCode>
                <c:ptCount val="5"/>
                <c:pt idx="0">
                  <c:v>15414025</c:v>
                </c:pt>
                <c:pt idx="1">
                  <c:v>15319609</c:v>
                </c:pt>
                <c:pt idx="2">
                  <c:v>14953973</c:v>
                </c:pt>
                <c:pt idx="3">
                  <c:v>14478650</c:v>
                </c:pt>
                <c:pt idx="4">
                  <c:v>14126238</c:v>
                </c:pt>
              </c:numCache>
            </c:numRef>
          </c:val>
          <c:smooth val="0"/>
          <c:extLst>
            <c:ext xmlns:c16="http://schemas.microsoft.com/office/drawing/2014/chart" uri="{C3380CC4-5D6E-409C-BE32-E72D297353CC}">
              <c16:uniqueId val="{00000000-9962-4E62-8652-91489BB027C2}"/>
            </c:ext>
          </c:extLst>
        </c:ser>
        <c:dLbls>
          <c:showLegendKey val="0"/>
          <c:showVal val="0"/>
          <c:showCatName val="0"/>
          <c:showSerName val="0"/>
          <c:showPercent val="0"/>
          <c:showBubbleSize val="0"/>
        </c:dLbls>
        <c:smooth val="0"/>
        <c:axId val="128321631"/>
        <c:axId val="115826255"/>
      </c:lineChart>
      <c:catAx>
        <c:axId val="1283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5826255"/>
        <c:crosses val="autoZero"/>
        <c:auto val="1"/>
        <c:lblAlgn val="ctr"/>
        <c:lblOffset val="100"/>
        <c:noMultiLvlLbl val="0"/>
      </c:catAx>
      <c:valAx>
        <c:axId val="115826255"/>
        <c:scaling>
          <c:orientation val="minMax"/>
          <c:max val="16100000.000000002"/>
          <c:min val="2000000"/>
        </c:scaling>
        <c:delete val="0"/>
        <c:axPos val="l"/>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8321631"/>
        <c:crosses val="autoZero"/>
        <c:crossBetween val="between"/>
        <c:majorUnit val="2000000"/>
        <c:minorUnit val="4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Interest Income VS Net Interest Income</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Powerquery!$B$1</c:f>
              <c:strCache>
                <c:ptCount val="1"/>
                <c:pt idx="0">
                  <c:v>Sum of Net</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Powerquery!$A$2:$A$499</c:f>
              <c:numCache>
                <c:formatCode>General</c:formatCode>
                <c:ptCount val="498"/>
                <c:pt idx="0">
                  <c:v>171958</c:v>
                </c:pt>
                <c:pt idx="1">
                  <c:v>162727</c:v>
                </c:pt>
                <c:pt idx="2">
                  <c:v>50769</c:v>
                </c:pt>
                <c:pt idx="3">
                  <c:v>135305</c:v>
                </c:pt>
                <c:pt idx="4">
                  <c:v>115725</c:v>
                </c:pt>
                <c:pt idx="5">
                  <c:v>61394</c:v>
                </c:pt>
                <c:pt idx="6">
                  <c:v>118148</c:v>
                </c:pt>
                <c:pt idx="7">
                  <c:v>69457</c:v>
                </c:pt>
                <c:pt idx="8">
                  <c:v>87065</c:v>
                </c:pt>
                <c:pt idx="9">
                  <c:v>73247</c:v>
                </c:pt>
                <c:pt idx="10">
                  <c:v>189643</c:v>
                </c:pt>
                <c:pt idx="11">
                  <c:v>52568</c:v>
                </c:pt>
                <c:pt idx="12">
                  <c:v>63986</c:v>
                </c:pt>
                <c:pt idx="13">
                  <c:v>154488</c:v>
                </c:pt>
                <c:pt idx="14">
                  <c:v>139135</c:v>
                </c:pt>
                <c:pt idx="15">
                  <c:v>163252</c:v>
                </c:pt>
                <c:pt idx="16">
                  <c:v>187982</c:v>
                </c:pt>
                <c:pt idx="17">
                  <c:v>100015</c:v>
                </c:pt>
                <c:pt idx="18">
                  <c:v>112623</c:v>
                </c:pt>
                <c:pt idx="19">
                  <c:v>52693</c:v>
                </c:pt>
                <c:pt idx="20">
                  <c:v>76105</c:v>
                </c:pt>
                <c:pt idx="21">
                  <c:v>142787</c:v>
                </c:pt>
                <c:pt idx="22">
                  <c:v>53748</c:v>
                </c:pt>
                <c:pt idx="23">
                  <c:v>118840</c:v>
                </c:pt>
                <c:pt idx="24">
                  <c:v>102733</c:v>
                </c:pt>
                <c:pt idx="25">
                  <c:v>76736</c:v>
                </c:pt>
                <c:pt idx="26">
                  <c:v>100859</c:v>
                </c:pt>
                <c:pt idx="27">
                  <c:v>168906</c:v>
                </c:pt>
                <c:pt idx="28">
                  <c:v>139045</c:v>
                </c:pt>
                <c:pt idx="29">
                  <c:v>65708</c:v>
                </c:pt>
                <c:pt idx="30">
                  <c:v>84754</c:v>
                </c:pt>
                <c:pt idx="31">
                  <c:v>150689</c:v>
                </c:pt>
                <c:pt idx="32">
                  <c:v>162561</c:v>
                </c:pt>
                <c:pt idx="33">
                  <c:v>157512</c:v>
                </c:pt>
                <c:pt idx="34">
                  <c:v>70932</c:v>
                </c:pt>
                <c:pt idx="35">
                  <c:v>65151</c:v>
                </c:pt>
                <c:pt idx="36">
                  <c:v>109040</c:v>
                </c:pt>
                <c:pt idx="37">
                  <c:v>176063</c:v>
                </c:pt>
                <c:pt idx="38">
                  <c:v>71357</c:v>
                </c:pt>
                <c:pt idx="39">
                  <c:v>88467</c:v>
                </c:pt>
                <c:pt idx="40">
                  <c:v>120271</c:v>
                </c:pt>
                <c:pt idx="41">
                  <c:v>187965</c:v>
                </c:pt>
                <c:pt idx="42">
                  <c:v>99377</c:v>
                </c:pt>
                <c:pt idx="43">
                  <c:v>152946</c:v>
                </c:pt>
                <c:pt idx="44">
                  <c:v>113208</c:v>
                </c:pt>
                <c:pt idx="45">
                  <c:v>174019</c:v>
                </c:pt>
                <c:pt idx="46">
                  <c:v>76641</c:v>
                </c:pt>
                <c:pt idx="47">
                  <c:v>86631</c:v>
                </c:pt>
                <c:pt idx="48">
                  <c:v>60729</c:v>
                </c:pt>
                <c:pt idx="49">
                  <c:v>155510</c:v>
                </c:pt>
                <c:pt idx="50">
                  <c:v>79592</c:v>
                </c:pt>
                <c:pt idx="51">
                  <c:v>120031</c:v>
                </c:pt>
                <c:pt idx="52">
                  <c:v>174862</c:v>
                </c:pt>
                <c:pt idx="53">
                  <c:v>145285</c:v>
                </c:pt>
                <c:pt idx="54">
                  <c:v>137235</c:v>
                </c:pt>
                <c:pt idx="55">
                  <c:v>123523</c:v>
                </c:pt>
                <c:pt idx="56">
                  <c:v>162566</c:v>
                </c:pt>
                <c:pt idx="57">
                  <c:v>182222</c:v>
                </c:pt>
                <c:pt idx="58">
                  <c:v>70056</c:v>
                </c:pt>
                <c:pt idx="59">
                  <c:v>163429</c:v>
                </c:pt>
                <c:pt idx="60">
                  <c:v>143468</c:v>
                </c:pt>
                <c:pt idx="61">
                  <c:v>93919</c:v>
                </c:pt>
                <c:pt idx="62">
                  <c:v>73049</c:v>
                </c:pt>
                <c:pt idx="63">
                  <c:v>91975</c:v>
                </c:pt>
                <c:pt idx="64">
                  <c:v>141007</c:v>
                </c:pt>
                <c:pt idx="65">
                  <c:v>141680</c:v>
                </c:pt>
                <c:pt idx="66">
                  <c:v>158940</c:v>
                </c:pt>
                <c:pt idx="67">
                  <c:v>144297</c:v>
                </c:pt>
                <c:pt idx="68">
                  <c:v>107458</c:v>
                </c:pt>
                <c:pt idx="69">
                  <c:v>57543</c:v>
                </c:pt>
                <c:pt idx="70">
                  <c:v>97295</c:v>
                </c:pt>
                <c:pt idx="71">
                  <c:v>111476</c:v>
                </c:pt>
                <c:pt idx="72">
                  <c:v>118450</c:v>
                </c:pt>
                <c:pt idx="73">
                  <c:v>116234</c:v>
                </c:pt>
                <c:pt idx="74">
                  <c:v>109163</c:v>
                </c:pt>
                <c:pt idx="75">
                  <c:v>152795</c:v>
                </c:pt>
                <c:pt idx="76">
                  <c:v>134076</c:v>
                </c:pt>
                <c:pt idx="77">
                  <c:v>88102</c:v>
                </c:pt>
                <c:pt idx="78">
                  <c:v>51542</c:v>
                </c:pt>
                <c:pt idx="79">
                  <c:v>69065</c:v>
                </c:pt>
                <c:pt idx="80">
                  <c:v>182396</c:v>
                </c:pt>
                <c:pt idx="81">
                  <c:v>168874</c:v>
                </c:pt>
                <c:pt idx="82">
                  <c:v>173961</c:v>
                </c:pt>
                <c:pt idx="83">
                  <c:v>92918</c:v>
                </c:pt>
                <c:pt idx="84">
                  <c:v>73960</c:v>
                </c:pt>
                <c:pt idx="85">
                  <c:v>84620</c:v>
                </c:pt>
                <c:pt idx="86">
                  <c:v>63843</c:v>
                </c:pt>
                <c:pt idx="87">
                  <c:v>188186</c:v>
                </c:pt>
                <c:pt idx="88">
                  <c:v>96427</c:v>
                </c:pt>
                <c:pt idx="89">
                  <c:v>54835</c:v>
                </c:pt>
                <c:pt idx="90">
                  <c:v>147007</c:v>
                </c:pt>
                <c:pt idx="91">
                  <c:v>179473</c:v>
                </c:pt>
                <c:pt idx="92">
                  <c:v>111813</c:v>
                </c:pt>
                <c:pt idx="93">
                  <c:v>56970</c:v>
                </c:pt>
                <c:pt idx="94">
                  <c:v>181456</c:v>
                </c:pt>
                <c:pt idx="95">
                  <c:v>130642</c:v>
                </c:pt>
                <c:pt idx="96">
                  <c:v>194528</c:v>
                </c:pt>
                <c:pt idx="97">
                  <c:v>107091</c:v>
                </c:pt>
                <c:pt idx="98">
                  <c:v>86187</c:v>
                </c:pt>
                <c:pt idx="99">
                  <c:v>87131</c:v>
                </c:pt>
                <c:pt idx="100">
                  <c:v>69198</c:v>
                </c:pt>
                <c:pt idx="101">
                  <c:v>103682</c:v>
                </c:pt>
                <c:pt idx="102">
                  <c:v>105393</c:v>
                </c:pt>
                <c:pt idx="103">
                  <c:v>103413</c:v>
                </c:pt>
                <c:pt idx="104">
                  <c:v>93088</c:v>
                </c:pt>
                <c:pt idx="105">
                  <c:v>55569</c:v>
                </c:pt>
                <c:pt idx="106">
                  <c:v>198216</c:v>
                </c:pt>
                <c:pt idx="107">
                  <c:v>74071</c:v>
                </c:pt>
                <c:pt idx="108">
                  <c:v>78732</c:v>
                </c:pt>
                <c:pt idx="109">
                  <c:v>129252</c:v>
                </c:pt>
                <c:pt idx="110">
                  <c:v>162428</c:v>
                </c:pt>
                <c:pt idx="111">
                  <c:v>168831</c:v>
                </c:pt>
                <c:pt idx="112">
                  <c:v>100428</c:v>
                </c:pt>
                <c:pt idx="113">
                  <c:v>78699</c:v>
                </c:pt>
                <c:pt idx="114">
                  <c:v>186198</c:v>
                </c:pt>
                <c:pt idx="115">
                  <c:v>168033</c:v>
                </c:pt>
                <c:pt idx="116">
                  <c:v>191339</c:v>
                </c:pt>
                <c:pt idx="117">
                  <c:v>154592</c:v>
                </c:pt>
                <c:pt idx="118">
                  <c:v>174049</c:v>
                </c:pt>
                <c:pt idx="119">
                  <c:v>131264</c:v>
                </c:pt>
                <c:pt idx="120">
                  <c:v>98447</c:v>
                </c:pt>
                <c:pt idx="121">
                  <c:v>166148</c:v>
                </c:pt>
                <c:pt idx="122">
                  <c:v>126125</c:v>
                </c:pt>
                <c:pt idx="123">
                  <c:v>54324</c:v>
                </c:pt>
                <c:pt idx="124">
                  <c:v>181189</c:v>
                </c:pt>
                <c:pt idx="125">
                  <c:v>96514</c:v>
                </c:pt>
                <c:pt idx="126">
                  <c:v>177534</c:v>
                </c:pt>
                <c:pt idx="127">
                  <c:v>82254</c:v>
                </c:pt>
                <c:pt idx="128">
                  <c:v>190937</c:v>
                </c:pt>
                <c:pt idx="129">
                  <c:v>158872</c:v>
                </c:pt>
                <c:pt idx="130">
                  <c:v>156288</c:v>
                </c:pt>
                <c:pt idx="131">
                  <c:v>134555</c:v>
                </c:pt>
                <c:pt idx="132">
                  <c:v>108596</c:v>
                </c:pt>
                <c:pt idx="133">
                  <c:v>93303</c:v>
                </c:pt>
                <c:pt idx="134">
                  <c:v>152974</c:v>
                </c:pt>
                <c:pt idx="135">
                  <c:v>199453</c:v>
                </c:pt>
                <c:pt idx="136">
                  <c:v>146646</c:v>
                </c:pt>
                <c:pt idx="137">
                  <c:v>75053</c:v>
                </c:pt>
                <c:pt idx="138">
                  <c:v>82154</c:v>
                </c:pt>
                <c:pt idx="139">
                  <c:v>96197</c:v>
                </c:pt>
                <c:pt idx="140">
                  <c:v>90631</c:v>
                </c:pt>
                <c:pt idx="141">
                  <c:v>197550</c:v>
                </c:pt>
                <c:pt idx="142">
                  <c:v>126325</c:v>
                </c:pt>
                <c:pt idx="143">
                  <c:v>183515</c:v>
                </c:pt>
                <c:pt idx="144">
                  <c:v>87219</c:v>
                </c:pt>
                <c:pt idx="145">
                  <c:v>77632</c:v>
                </c:pt>
                <c:pt idx="146">
                  <c:v>84560</c:v>
                </c:pt>
                <c:pt idx="147">
                  <c:v>150158</c:v>
                </c:pt>
                <c:pt idx="148">
                  <c:v>107545</c:v>
                </c:pt>
                <c:pt idx="149">
                  <c:v>189649</c:v>
                </c:pt>
                <c:pt idx="150">
                  <c:v>91914</c:v>
                </c:pt>
                <c:pt idx="151">
                  <c:v>54757</c:v>
                </c:pt>
                <c:pt idx="152">
                  <c:v>120480</c:v>
                </c:pt>
                <c:pt idx="153">
                  <c:v>146731</c:v>
                </c:pt>
                <c:pt idx="154">
                  <c:v>142374</c:v>
                </c:pt>
                <c:pt idx="155">
                  <c:v>140397</c:v>
                </c:pt>
                <c:pt idx="156">
                  <c:v>187717</c:v>
                </c:pt>
                <c:pt idx="157">
                  <c:v>102487</c:v>
                </c:pt>
                <c:pt idx="158">
                  <c:v>181026</c:v>
                </c:pt>
                <c:pt idx="159">
                  <c:v>80678</c:v>
                </c:pt>
                <c:pt idx="160">
                  <c:v>135595</c:v>
                </c:pt>
                <c:pt idx="161">
                  <c:v>134458</c:v>
                </c:pt>
                <c:pt idx="162">
                  <c:v>54425</c:v>
                </c:pt>
                <c:pt idx="163">
                  <c:v>168865</c:v>
                </c:pt>
                <c:pt idx="164">
                  <c:v>144914</c:v>
                </c:pt>
                <c:pt idx="165">
                  <c:v>188155</c:v>
                </c:pt>
                <c:pt idx="166">
                  <c:v>140093</c:v>
                </c:pt>
                <c:pt idx="167">
                  <c:v>149608</c:v>
                </c:pt>
                <c:pt idx="168">
                  <c:v>105961</c:v>
                </c:pt>
                <c:pt idx="169">
                  <c:v>171829</c:v>
                </c:pt>
                <c:pt idx="170">
                  <c:v>131182</c:v>
                </c:pt>
                <c:pt idx="171">
                  <c:v>192736</c:v>
                </c:pt>
                <c:pt idx="172">
                  <c:v>151371</c:v>
                </c:pt>
                <c:pt idx="173">
                  <c:v>107492</c:v>
                </c:pt>
                <c:pt idx="174">
                  <c:v>54853</c:v>
                </c:pt>
                <c:pt idx="175">
                  <c:v>196922</c:v>
                </c:pt>
                <c:pt idx="176">
                  <c:v>182596</c:v>
                </c:pt>
                <c:pt idx="177">
                  <c:v>133559</c:v>
                </c:pt>
                <c:pt idx="178">
                  <c:v>70581</c:v>
                </c:pt>
                <c:pt idx="179">
                  <c:v>86408</c:v>
                </c:pt>
                <c:pt idx="180">
                  <c:v>193326</c:v>
                </c:pt>
                <c:pt idx="181">
                  <c:v>196968</c:v>
                </c:pt>
                <c:pt idx="182">
                  <c:v>87641</c:v>
                </c:pt>
                <c:pt idx="183">
                  <c:v>74070</c:v>
                </c:pt>
                <c:pt idx="184">
                  <c:v>187809</c:v>
                </c:pt>
                <c:pt idx="185">
                  <c:v>116150</c:v>
                </c:pt>
                <c:pt idx="186">
                  <c:v>184055</c:v>
                </c:pt>
                <c:pt idx="187">
                  <c:v>94547</c:v>
                </c:pt>
                <c:pt idx="188">
                  <c:v>129273</c:v>
                </c:pt>
                <c:pt idx="189">
                  <c:v>194991</c:v>
                </c:pt>
                <c:pt idx="190">
                  <c:v>111916</c:v>
                </c:pt>
                <c:pt idx="191">
                  <c:v>74574</c:v>
                </c:pt>
                <c:pt idx="192">
                  <c:v>82413</c:v>
                </c:pt>
                <c:pt idx="193">
                  <c:v>185566</c:v>
                </c:pt>
                <c:pt idx="194">
                  <c:v>174343</c:v>
                </c:pt>
                <c:pt idx="195">
                  <c:v>130435</c:v>
                </c:pt>
                <c:pt idx="196">
                  <c:v>91844</c:v>
                </c:pt>
                <c:pt idx="197">
                  <c:v>166953</c:v>
                </c:pt>
                <c:pt idx="198">
                  <c:v>116262</c:v>
                </c:pt>
                <c:pt idx="199">
                  <c:v>162855</c:v>
                </c:pt>
                <c:pt idx="200">
                  <c:v>110504</c:v>
                </c:pt>
                <c:pt idx="201">
                  <c:v>93642</c:v>
                </c:pt>
                <c:pt idx="202">
                  <c:v>114772</c:v>
                </c:pt>
                <c:pt idx="203">
                  <c:v>185044</c:v>
                </c:pt>
                <c:pt idx="204">
                  <c:v>165005</c:v>
                </c:pt>
                <c:pt idx="205">
                  <c:v>121719</c:v>
                </c:pt>
                <c:pt idx="206">
                  <c:v>155228</c:v>
                </c:pt>
                <c:pt idx="207">
                  <c:v>119274</c:v>
                </c:pt>
                <c:pt idx="208">
                  <c:v>118344</c:v>
                </c:pt>
                <c:pt idx="209">
                  <c:v>92534</c:v>
                </c:pt>
                <c:pt idx="210">
                  <c:v>125418</c:v>
                </c:pt>
                <c:pt idx="211">
                  <c:v>81575</c:v>
                </c:pt>
                <c:pt idx="212">
                  <c:v>194353</c:v>
                </c:pt>
                <c:pt idx="213">
                  <c:v>165953</c:v>
                </c:pt>
                <c:pt idx="214">
                  <c:v>70953</c:v>
                </c:pt>
                <c:pt idx="215">
                  <c:v>127475</c:v>
                </c:pt>
                <c:pt idx="216">
                  <c:v>143106</c:v>
                </c:pt>
                <c:pt idx="217">
                  <c:v>173395</c:v>
                </c:pt>
                <c:pt idx="218">
                  <c:v>125932</c:v>
                </c:pt>
                <c:pt idx="219">
                  <c:v>72042</c:v>
                </c:pt>
                <c:pt idx="220">
                  <c:v>98901</c:v>
                </c:pt>
                <c:pt idx="221">
                  <c:v>183052</c:v>
                </c:pt>
                <c:pt idx="222">
                  <c:v>76385</c:v>
                </c:pt>
                <c:pt idx="223">
                  <c:v>165672</c:v>
                </c:pt>
                <c:pt idx="224">
                  <c:v>135553</c:v>
                </c:pt>
                <c:pt idx="225">
                  <c:v>186727</c:v>
                </c:pt>
                <c:pt idx="226">
                  <c:v>97837</c:v>
                </c:pt>
                <c:pt idx="227">
                  <c:v>179749</c:v>
                </c:pt>
                <c:pt idx="228">
                  <c:v>152471</c:v>
                </c:pt>
                <c:pt idx="229">
                  <c:v>156661</c:v>
                </c:pt>
                <c:pt idx="230">
                  <c:v>80087</c:v>
                </c:pt>
                <c:pt idx="231">
                  <c:v>175816</c:v>
                </c:pt>
                <c:pt idx="232">
                  <c:v>124441</c:v>
                </c:pt>
                <c:pt idx="233">
                  <c:v>162360</c:v>
                </c:pt>
                <c:pt idx="234">
                  <c:v>100861</c:v>
                </c:pt>
                <c:pt idx="235">
                  <c:v>182997</c:v>
                </c:pt>
                <c:pt idx="236">
                  <c:v>184461</c:v>
                </c:pt>
                <c:pt idx="237">
                  <c:v>148511</c:v>
                </c:pt>
                <c:pt idx="238">
                  <c:v>148818</c:v>
                </c:pt>
                <c:pt idx="239">
                  <c:v>122715</c:v>
                </c:pt>
                <c:pt idx="240">
                  <c:v>173629</c:v>
                </c:pt>
                <c:pt idx="241">
                  <c:v>142447</c:v>
                </c:pt>
                <c:pt idx="242">
                  <c:v>52920</c:v>
                </c:pt>
                <c:pt idx="243">
                  <c:v>105230</c:v>
                </c:pt>
                <c:pt idx="244">
                  <c:v>75963</c:v>
                </c:pt>
                <c:pt idx="245">
                  <c:v>122099</c:v>
                </c:pt>
                <c:pt idx="246">
                  <c:v>76017</c:v>
                </c:pt>
                <c:pt idx="247">
                  <c:v>136652</c:v>
                </c:pt>
                <c:pt idx="248">
                  <c:v>138397</c:v>
                </c:pt>
                <c:pt idx="249">
                  <c:v>146059</c:v>
                </c:pt>
                <c:pt idx="250">
                  <c:v>117649</c:v>
                </c:pt>
                <c:pt idx="251">
                  <c:v>168154</c:v>
                </c:pt>
                <c:pt idx="252">
                  <c:v>170585</c:v>
                </c:pt>
                <c:pt idx="253">
                  <c:v>121635</c:v>
                </c:pt>
                <c:pt idx="254">
                  <c:v>59847</c:v>
                </c:pt>
                <c:pt idx="255">
                  <c:v>84707</c:v>
                </c:pt>
                <c:pt idx="256">
                  <c:v>182130</c:v>
                </c:pt>
                <c:pt idx="257">
                  <c:v>182311</c:v>
                </c:pt>
                <c:pt idx="258">
                  <c:v>187710</c:v>
                </c:pt>
                <c:pt idx="259">
                  <c:v>72911</c:v>
                </c:pt>
                <c:pt idx="260">
                  <c:v>171863</c:v>
                </c:pt>
                <c:pt idx="261">
                  <c:v>98320</c:v>
                </c:pt>
                <c:pt idx="262">
                  <c:v>160448</c:v>
                </c:pt>
                <c:pt idx="263">
                  <c:v>69508</c:v>
                </c:pt>
                <c:pt idx="264">
                  <c:v>153409</c:v>
                </c:pt>
                <c:pt idx="265">
                  <c:v>168516</c:v>
                </c:pt>
                <c:pt idx="266">
                  <c:v>86321</c:v>
                </c:pt>
                <c:pt idx="267">
                  <c:v>141736</c:v>
                </c:pt>
                <c:pt idx="268">
                  <c:v>85643</c:v>
                </c:pt>
                <c:pt idx="269">
                  <c:v>75537</c:v>
                </c:pt>
                <c:pt idx="270">
                  <c:v>81348</c:v>
                </c:pt>
                <c:pt idx="271">
                  <c:v>103551</c:v>
                </c:pt>
                <c:pt idx="272">
                  <c:v>128714</c:v>
                </c:pt>
                <c:pt idx="273">
                  <c:v>137163</c:v>
                </c:pt>
                <c:pt idx="274">
                  <c:v>96413</c:v>
                </c:pt>
                <c:pt idx="275">
                  <c:v>171999</c:v>
                </c:pt>
                <c:pt idx="276">
                  <c:v>136365</c:v>
                </c:pt>
                <c:pt idx="277">
                  <c:v>68743</c:v>
                </c:pt>
                <c:pt idx="278">
                  <c:v>157971</c:v>
                </c:pt>
                <c:pt idx="279">
                  <c:v>138204</c:v>
                </c:pt>
                <c:pt idx="280">
                  <c:v>87384</c:v>
                </c:pt>
                <c:pt idx="281">
                  <c:v>188299</c:v>
                </c:pt>
                <c:pt idx="282">
                  <c:v>177556</c:v>
                </c:pt>
                <c:pt idx="283">
                  <c:v>127231</c:v>
                </c:pt>
                <c:pt idx="284">
                  <c:v>57421</c:v>
                </c:pt>
                <c:pt idx="285">
                  <c:v>160944</c:v>
                </c:pt>
                <c:pt idx="286">
                  <c:v>122240</c:v>
                </c:pt>
                <c:pt idx="287">
                  <c:v>175703</c:v>
                </c:pt>
                <c:pt idx="288">
                  <c:v>124069</c:v>
                </c:pt>
                <c:pt idx="289">
                  <c:v>147543</c:v>
                </c:pt>
                <c:pt idx="290">
                  <c:v>60526</c:v>
                </c:pt>
                <c:pt idx="291">
                  <c:v>174982</c:v>
                </c:pt>
                <c:pt idx="292">
                  <c:v>191826</c:v>
                </c:pt>
                <c:pt idx="293">
                  <c:v>148452</c:v>
                </c:pt>
                <c:pt idx="294">
                  <c:v>60699</c:v>
                </c:pt>
                <c:pt idx="295">
                  <c:v>174481</c:v>
                </c:pt>
                <c:pt idx="296">
                  <c:v>68073</c:v>
                </c:pt>
                <c:pt idx="297">
                  <c:v>111929</c:v>
                </c:pt>
                <c:pt idx="298">
                  <c:v>113133</c:v>
                </c:pt>
                <c:pt idx="299">
                  <c:v>162020</c:v>
                </c:pt>
                <c:pt idx="300">
                  <c:v>186728</c:v>
                </c:pt>
                <c:pt idx="301">
                  <c:v>81055</c:v>
                </c:pt>
                <c:pt idx="302">
                  <c:v>73429</c:v>
                </c:pt>
                <c:pt idx="303">
                  <c:v>67347</c:v>
                </c:pt>
                <c:pt idx="304">
                  <c:v>160719</c:v>
                </c:pt>
                <c:pt idx="305">
                  <c:v>105099</c:v>
                </c:pt>
                <c:pt idx="306">
                  <c:v>89922</c:v>
                </c:pt>
                <c:pt idx="307">
                  <c:v>169863</c:v>
                </c:pt>
                <c:pt idx="308">
                  <c:v>78141</c:v>
                </c:pt>
                <c:pt idx="309">
                  <c:v>104823</c:v>
                </c:pt>
                <c:pt idx="310">
                  <c:v>148723</c:v>
                </c:pt>
                <c:pt idx="311">
                  <c:v>149071</c:v>
                </c:pt>
                <c:pt idx="312">
                  <c:v>126373</c:v>
                </c:pt>
                <c:pt idx="313">
                  <c:v>56548</c:v>
                </c:pt>
                <c:pt idx="314">
                  <c:v>181743</c:v>
                </c:pt>
                <c:pt idx="315">
                  <c:v>72420</c:v>
                </c:pt>
                <c:pt idx="316">
                  <c:v>87487</c:v>
                </c:pt>
                <c:pt idx="317">
                  <c:v>167360</c:v>
                </c:pt>
                <c:pt idx="318">
                  <c:v>154576</c:v>
                </c:pt>
                <c:pt idx="319">
                  <c:v>140353</c:v>
                </c:pt>
                <c:pt idx="320">
                  <c:v>101399</c:v>
                </c:pt>
                <c:pt idx="321">
                  <c:v>106492</c:v>
                </c:pt>
                <c:pt idx="322">
                  <c:v>113530</c:v>
                </c:pt>
                <c:pt idx="323">
                  <c:v>138340</c:v>
                </c:pt>
                <c:pt idx="324">
                  <c:v>175426</c:v>
                </c:pt>
                <c:pt idx="325">
                  <c:v>176303</c:v>
                </c:pt>
                <c:pt idx="326">
                  <c:v>198702</c:v>
                </c:pt>
                <c:pt idx="327">
                  <c:v>188051</c:v>
                </c:pt>
                <c:pt idx="328">
                  <c:v>136205</c:v>
                </c:pt>
                <c:pt idx="329">
                  <c:v>67153</c:v>
                </c:pt>
                <c:pt idx="330">
                  <c:v>145457</c:v>
                </c:pt>
                <c:pt idx="331">
                  <c:v>88714</c:v>
                </c:pt>
                <c:pt idx="332">
                  <c:v>183533</c:v>
                </c:pt>
                <c:pt idx="333">
                  <c:v>127794</c:v>
                </c:pt>
                <c:pt idx="334">
                  <c:v>150500</c:v>
                </c:pt>
                <c:pt idx="335">
                  <c:v>195643</c:v>
                </c:pt>
                <c:pt idx="336">
                  <c:v>135457</c:v>
                </c:pt>
                <c:pt idx="337">
                  <c:v>70567</c:v>
                </c:pt>
                <c:pt idx="338">
                  <c:v>58706</c:v>
                </c:pt>
                <c:pt idx="339">
                  <c:v>186998</c:v>
                </c:pt>
                <c:pt idx="340">
                  <c:v>105147</c:v>
                </c:pt>
                <c:pt idx="341">
                  <c:v>145081</c:v>
                </c:pt>
                <c:pt idx="342">
                  <c:v>126865</c:v>
                </c:pt>
                <c:pt idx="343">
                  <c:v>191877</c:v>
                </c:pt>
                <c:pt idx="344">
                  <c:v>90372</c:v>
                </c:pt>
                <c:pt idx="345">
                  <c:v>132617</c:v>
                </c:pt>
                <c:pt idx="346">
                  <c:v>123445</c:v>
                </c:pt>
                <c:pt idx="347">
                  <c:v>196451</c:v>
                </c:pt>
                <c:pt idx="348">
                  <c:v>197159</c:v>
                </c:pt>
                <c:pt idx="349">
                  <c:v>115697</c:v>
                </c:pt>
                <c:pt idx="350">
                  <c:v>128229</c:v>
                </c:pt>
                <c:pt idx="351">
                  <c:v>63428</c:v>
                </c:pt>
                <c:pt idx="352">
                  <c:v>78854</c:v>
                </c:pt>
                <c:pt idx="353">
                  <c:v>134730</c:v>
                </c:pt>
                <c:pt idx="354">
                  <c:v>127984</c:v>
                </c:pt>
                <c:pt idx="355">
                  <c:v>134045</c:v>
                </c:pt>
                <c:pt idx="356">
                  <c:v>96850</c:v>
                </c:pt>
                <c:pt idx="357">
                  <c:v>73284</c:v>
                </c:pt>
                <c:pt idx="358">
                  <c:v>112812</c:v>
                </c:pt>
                <c:pt idx="359">
                  <c:v>158899</c:v>
                </c:pt>
                <c:pt idx="360">
                  <c:v>167666</c:v>
                </c:pt>
                <c:pt idx="361">
                  <c:v>67069</c:v>
                </c:pt>
                <c:pt idx="362">
                  <c:v>112424</c:v>
                </c:pt>
                <c:pt idx="363">
                  <c:v>142573</c:v>
                </c:pt>
                <c:pt idx="364">
                  <c:v>198087</c:v>
                </c:pt>
                <c:pt idx="365">
                  <c:v>91800</c:v>
                </c:pt>
                <c:pt idx="366">
                  <c:v>196964</c:v>
                </c:pt>
                <c:pt idx="367">
                  <c:v>116707</c:v>
                </c:pt>
                <c:pt idx="368">
                  <c:v>199817</c:v>
                </c:pt>
                <c:pt idx="369">
                  <c:v>56304</c:v>
                </c:pt>
                <c:pt idx="370">
                  <c:v>69446</c:v>
                </c:pt>
                <c:pt idx="371">
                  <c:v>68474</c:v>
                </c:pt>
                <c:pt idx="372">
                  <c:v>119184</c:v>
                </c:pt>
                <c:pt idx="373">
                  <c:v>118673</c:v>
                </c:pt>
                <c:pt idx="374">
                  <c:v>124071</c:v>
                </c:pt>
                <c:pt idx="375">
                  <c:v>117263</c:v>
                </c:pt>
                <c:pt idx="376">
                  <c:v>193891</c:v>
                </c:pt>
                <c:pt idx="377">
                  <c:v>192055</c:v>
                </c:pt>
                <c:pt idx="378">
                  <c:v>56823</c:v>
                </c:pt>
                <c:pt idx="379">
                  <c:v>63565</c:v>
                </c:pt>
                <c:pt idx="380">
                  <c:v>71253</c:v>
                </c:pt>
                <c:pt idx="381">
                  <c:v>183623</c:v>
                </c:pt>
                <c:pt idx="382">
                  <c:v>188311</c:v>
                </c:pt>
                <c:pt idx="383">
                  <c:v>87991</c:v>
                </c:pt>
                <c:pt idx="384">
                  <c:v>56530</c:v>
                </c:pt>
                <c:pt idx="385">
                  <c:v>175147</c:v>
                </c:pt>
                <c:pt idx="386">
                  <c:v>174661</c:v>
                </c:pt>
                <c:pt idx="387">
                  <c:v>104400</c:v>
                </c:pt>
                <c:pt idx="388">
                  <c:v>51283</c:v>
                </c:pt>
                <c:pt idx="389">
                  <c:v>189076</c:v>
                </c:pt>
                <c:pt idx="390">
                  <c:v>82994</c:v>
                </c:pt>
                <c:pt idx="391">
                  <c:v>181717</c:v>
                </c:pt>
                <c:pt idx="392">
                  <c:v>93732</c:v>
                </c:pt>
                <c:pt idx="393">
                  <c:v>119615</c:v>
                </c:pt>
                <c:pt idx="394">
                  <c:v>194302</c:v>
                </c:pt>
                <c:pt idx="395">
                  <c:v>187488</c:v>
                </c:pt>
                <c:pt idx="396">
                  <c:v>179295</c:v>
                </c:pt>
                <c:pt idx="397">
                  <c:v>117494</c:v>
                </c:pt>
                <c:pt idx="398">
                  <c:v>137960</c:v>
                </c:pt>
                <c:pt idx="399">
                  <c:v>159869</c:v>
                </c:pt>
                <c:pt idx="400">
                  <c:v>148696</c:v>
                </c:pt>
                <c:pt idx="401">
                  <c:v>136661</c:v>
                </c:pt>
                <c:pt idx="402">
                  <c:v>183669</c:v>
                </c:pt>
                <c:pt idx="403">
                  <c:v>62109</c:v>
                </c:pt>
                <c:pt idx="404">
                  <c:v>84518</c:v>
                </c:pt>
                <c:pt idx="405">
                  <c:v>55075</c:v>
                </c:pt>
                <c:pt idx="406">
                  <c:v>144840</c:v>
                </c:pt>
                <c:pt idx="407">
                  <c:v>93472</c:v>
                </c:pt>
                <c:pt idx="408">
                  <c:v>96733</c:v>
                </c:pt>
                <c:pt idx="409">
                  <c:v>64849</c:v>
                </c:pt>
                <c:pt idx="410">
                  <c:v>101631</c:v>
                </c:pt>
                <c:pt idx="411">
                  <c:v>145998</c:v>
                </c:pt>
                <c:pt idx="412">
                  <c:v>66288</c:v>
                </c:pt>
                <c:pt idx="413">
                  <c:v>109871</c:v>
                </c:pt>
                <c:pt idx="414">
                  <c:v>76649</c:v>
                </c:pt>
                <c:pt idx="415">
                  <c:v>198934</c:v>
                </c:pt>
                <c:pt idx="416">
                  <c:v>181265</c:v>
                </c:pt>
                <c:pt idx="417">
                  <c:v>90197</c:v>
                </c:pt>
                <c:pt idx="418">
                  <c:v>185450</c:v>
                </c:pt>
                <c:pt idx="419">
                  <c:v>145074</c:v>
                </c:pt>
                <c:pt idx="420">
                  <c:v>104245</c:v>
                </c:pt>
                <c:pt idx="421">
                  <c:v>146038</c:v>
                </c:pt>
                <c:pt idx="422">
                  <c:v>115333</c:v>
                </c:pt>
                <c:pt idx="423">
                  <c:v>85634</c:v>
                </c:pt>
                <c:pt idx="424">
                  <c:v>131554</c:v>
                </c:pt>
                <c:pt idx="425">
                  <c:v>128279</c:v>
                </c:pt>
                <c:pt idx="426">
                  <c:v>184393</c:v>
                </c:pt>
                <c:pt idx="427">
                  <c:v>184832</c:v>
                </c:pt>
                <c:pt idx="428">
                  <c:v>53744</c:v>
                </c:pt>
                <c:pt idx="429">
                  <c:v>152112</c:v>
                </c:pt>
                <c:pt idx="430">
                  <c:v>136120</c:v>
                </c:pt>
                <c:pt idx="431">
                  <c:v>126917</c:v>
                </c:pt>
                <c:pt idx="432">
                  <c:v>187103</c:v>
                </c:pt>
                <c:pt idx="433">
                  <c:v>117534</c:v>
                </c:pt>
                <c:pt idx="434">
                  <c:v>169006</c:v>
                </c:pt>
                <c:pt idx="435">
                  <c:v>198586</c:v>
                </c:pt>
                <c:pt idx="436">
                  <c:v>143547</c:v>
                </c:pt>
                <c:pt idx="437">
                  <c:v>104312</c:v>
                </c:pt>
                <c:pt idx="438">
                  <c:v>133555</c:v>
                </c:pt>
                <c:pt idx="439">
                  <c:v>141703</c:v>
                </c:pt>
                <c:pt idx="440">
                  <c:v>90379</c:v>
                </c:pt>
                <c:pt idx="441">
                  <c:v>61120</c:v>
                </c:pt>
                <c:pt idx="442">
                  <c:v>145040</c:v>
                </c:pt>
                <c:pt idx="443">
                  <c:v>92359</c:v>
                </c:pt>
                <c:pt idx="444">
                  <c:v>164650</c:v>
                </c:pt>
                <c:pt idx="445">
                  <c:v>183241</c:v>
                </c:pt>
                <c:pt idx="446">
                  <c:v>187416</c:v>
                </c:pt>
                <c:pt idx="447">
                  <c:v>160659</c:v>
                </c:pt>
                <c:pt idx="448">
                  <c:v>58556</c:v>
                </c:pt>
                <c:pt idx="449">
                  <c:v>176060</c:v>
                </c:pt>
                <c:pt idx="450">
                  <c:v>50138</c:v>
                </c:pt>
                <c:pt idx="451">
                  <c:v>108478</c:v>
                </c:pt>
                <c:pt idx="452">
                  <c:v>70219</c:v>
                </c:pt>
                <c:pt idx="453">
                  <c:v>127988</c:v>
                </c:pt>
                <c:pt idx="454">
                  <c:v>142021</c:v>
                </c:pt>
                <c:pt idx="455">
                  <c:v>126021</c:v>
                </c:pt>
                <c:pt idx="456">
                  <c:v>182279</c:v>
                </c:pt>
                <c:pt idx="457">
                  <c:v>116418</c:v>
                </c:pt>
                <c:pt idx="458">
                  <c:v>156233</c:v>
                </c:pt>
                <c:pt idx="459">
                  <c:v>68354</c:v>
                </c:pt>
                <c:pt idx="460">
                  <c:v>175438</c:v>
                </c:pt>
                <c:pt idx="461">
                  <c:v>152239</c:v>
                </c:pt>
                <c:pt idx="462">
                  <c:v>74045</c:v>
                </c:pt>
                <c:pt idx="463">
                  <c:v>186917</c:v>
                </c:pt>
                <c:pt idx="464">
                  <c:v>102887</c:v>
                </c:pt>
                <c:pt idx="465">
                  <c:v>134761</c:v>
                </c:pt>
                <c:pt idx="466">
                  <c:v>190836</c:v>
                </c:pt>
                <c:pt idx="467">
                  <c:v>156752</c:v>
                </c:pt>
                <c:pt idx="468">
                  <c:v>127064</c:v>
                </c:pt>
                <c:pt idx="469">
                  <c:v>69810</c:v>
                </c:pt>
                <c:pt idx="470">
                  <c:v>72031</c:v>
                </c:pt>
                <c:pt idx="471">
                  <c:v>161041</c:v>
                </c:pt>
                <c:pt idx="472">
                  <c:v>198694</c:v>
                </c:pt>
                <c:pt idx="473">
                  <c:v>196664</c:v>
                </c:pt>
                <c:pt idx="474">
                  <c:v>174184</c:v>
                </c:pt>
                <c:pt idx="475">
                  <c:v>139571</c:v>
                </c:pt>
                <c:pt idx="476">
                  <c:v>157507</c:v>
                </c:pt>
                <c:pt idx="477">
                  <c:v>121126</c:v>
                </c:pt>
                <c:pt idx="478">
                  <c:v>96154</c:v>
                </c:pt>
                <c:pt idx="479">
                  <c:v>139081</c:v>
                </c:pt>
                <c:pt idx="480">
                  <c:v>112551</c:v>
                </c:pt>
                <c:pt idx="481">
                  <c:v>105103</c:v>
                </c:pt>
                <c:pt idx="482">
                  <c:v>197281</c:v>
                </c:pt>
                <c:pt idx="483">
                  <c:v>170779</c:v>
                </c:pt>
                <c:pt idx="484">
                  <c:v>73478</c:v>
                </c:pt>
                <c:pt idx="485">
                  <c:v>161022</c:v>
                </c:pt>
                <c:pt idx="486">
                  <c:v>55842</c:v>
                </c:pt>
                <c:pt idx="487">
                  <c:v>116914</c:v>
                </c:pt>
                <c:pt idx="488">
                  <c:v>52257</c:v>
                </c:pt>
                <c:pt idx="489">
                  <c:v>70808</c:v>
                </c:pt>
                <c:pt idx="490">
                  <c:v>107505</c:v>
                </c:pt>
                <c:pt idx="491">
                  <c:v>66923</c:v>
                </c:pt>
                <c:pt idx="492">
                  <c:v>76672</c:v>
                </c:pt>
                <c:pt idx="493">
                  <c:v>68199</c:v>
                </c:pt>
                <c:pt idx="494">
                  <c:v>74472</c:v>
                </c:pt>
                <c:pt idx="495">
                  <c:v>182473</c:v>
                </c:pt>
                <c:pt idx="496">
                  <c:v>193022</c:v>
                </c:pt>
                <c:pt idx="497">
                  <c:v>101374</c:v>
                </c:pt>
              </c:numCache>
            </c:numRef>
          </c:xVal>
          <c:yVal>
            <c:numRef>
              <c:f>Powerquery!$B$2:$B$499</c:f>
              <c:numCache>
                <c:formatCode>General</c:formatCode>
                <c:ptCount val="498"/>
                <c:pt idx="0">
                  <c:v>146163</c:v>
                </c:pt>
                <c:pt idx="1">
                  <c:v>108596</c:v>
                </c:pt>
                <c:pt idx="2">
                  <c:v>-18966</c:v>
                </c:pt>
                <c:pt idx="3">
                  <c:v>96612</c:v>
                </c:pt>
                <c:pt idx="4">
                  <c:v>69952</c:v>
                </c:pt>
                <c:pt idx="5">
                  <c:v>-17698</c:v>
                </c:pt>
                <c:pt idx="6">
                  <c:v>84665</c:v>
                </c:pt>
                <c:pt idx="7">
                  <c:v>-7100</c:v>
                </c:pt>
                <c:pt idx="8">
                  <c:v>44459</c:v>
                </c:pt>
                <c:pt idx="9">
                  <c:v>38947</c:v>
                </c:pt>
                <c:pt idx="10">
                  <c:v>141599</c:v>
                </c:pt>
                <c:pt idx="11">
                  <c:v>-20024</c:v>
                </c:pt>
                <c:pt idx="12">
                  <c:v>-7872</c:v>
                </c:pt>
                <c:pt idx="13">
                  <c:v>92237</c:v>
                </c:pt>
                <c:pt idx="14">
                  <c:v>93913</c:v>
                </c:pt>
                <c:pt idx="15">
                  <c:v>145142</c:v>
                </c:pt>
                <c:pt idx="16">
                  <c:v>177776</c:v>
                </c:pt>
                <c:pt idx="17">
                  <c:v>35747</c:v>
                </c:pt>
                <c:pt idx="18">
                  <c:v>80324</c:v>
                </c:pt>
                <c:pt idx="19">
                  <c:v>-26470</c:v>
                </c:pt>
                <c:pt idx="20">
                  <c:v>50398</c:v>
                </c:pt>
                <c:pt idx="21">
                  <c:v>77771</c:v>
                </c:pt>
                <c:pt idx="22">
                  <c:v>30203</c:v>
                </c:pt>
                <c:pt idx="23">
                  <c:v>54456</c:v>
                </c:pt>
                <c:pt idx="24">
                  <c:v>27415</c:v>
                </c:pt>
                <c:pt idx="25">
                  <c:v>65882</c:v>
                </c:pt>
                <c:pt idx="26">
                  <c:v>64550</c:v>
                </c:pt>
                <c:pt idx="27">
                  <c:v>146218</c:v>
                </c:pt>
                <c:pt idx="28">
                  <c:v>94347</c:v>
                </c:pt>
                <c:pt idx="29">
                  <c:v>5897</c:v>
                </c:pt>
                <c:pt idx="30">
                  <c:v>63343</c:v>
                </c:pt>
                <c:pt idx="31">
                  <c:v>129578</c:v>
                </c:pt>
                <c:pt idx="32">
                  <c:v>105307</c:v>
                </c:pt>
                <c:pt idx="33">
                  <c:v>131141</c:v>
                </c:pt>
                <c:pt idx="34">
                  <c:v>31077</c:v>
                </c:pt>
                <c:pt idx="35">
                  <c:v>3744</c:v>
                </c:pt>
                <c:pt idx="36">
                  <c:v>86857</c:v>
                </c:pt>
                <c:pt idx="37">
                  <c:v>163506</c:v>
                </c:pt>
                <c:pt idx="38">
                  <c:v>58488</c:v>
                </c:pt>
                <c:pt idx="39">
                  <c:v>115981</c:v>
                </c:pt>
                <c:pt idx="40">
                  <c:v>66207</c:v>
                </c:pt>
                <c:pt idx="41">
                  <c:v>130632</c:v>
                </c:pt>
                <c:pt idx="42">
                  <c:v>40973</c:v>
                </c:pt>
                <c:pt idx="43">
                  <c:v>86455</c:v>
                </c:pt>
                <c:pt idx="44">
                  <c:v>69380</c:v>
                </c:pt>
                <c:pt idx="45">
                  <c:v>98293</c:v>
                </c:pt>
                <c:pt idx="46">
                  <c:v>32057</c:v>
                </c:pt>
                <c:pt idx="47">
                  <c:v>72617</c:v>
                </c:pt>
                <c:pt idx="48">
                  <c:v>5712</c:v>
                </c:pt>
                <c:pt idx="49">
                  <c:v>90762</c:v>
                </c:pt>
                <c:pt idx="50">
                  <c:v>58945</c:v>
                </c:pt>
                <c:pt idx="51">
                  <c:v>54265</c:v>
                </c:pt>
                <c:pt idx="52">
                  <c:v>111941</c:v>
                </c:pt>
                <c:pt idx="53">
                  <c:v>119947</c:v>
                </c:pt>
                <c:pt idx="54">
                  <c:v>73214</c:v>
                </c:pt>
                <c:pt idx="55">
                  <c:v>96504</c:v>
                </c:pt>
                <c:pt idx="56">
                  <c:v>126621</c:v>
                </c:pt>
                <c:pt idx="57">
                  <c:v>105605</c:v>
                </c:pt>
                <c:pt idx="58">
                  <c:v>14513</c:v>
                </c:pt>
                <c:pt idx="59">
                  <c:v>93791</c:v>
                </c:pt>
                <c:pt idx="60">
                  <c:v>72079</c:v>
                </c:pt>
                <c:pt idx="61">
                  <c:v>48672</c:v>
                </c:pt>
                <c:pt idx="62">
                  <c:v>-5336</c:v>
                </c:pt>
                <c:pt idx="63">
                  <c:v>72435</c:v>
                </c:pt>
                <c:pt idx="64">
                  <c:v>70117</c:v>
                </c:pt>
                <c:pt idx="65">
                  <c:v>127680</c:v>
                </c:pt>
                <c:pt idx="66">
                  <c:v>110446</c:v>
                </c:pt>
                <c:pt idx="67">
                  <c:v>108946</c:v>
                </c:pt>
                <c:pt idx="68">
                  <c:v>77100</c:v>
                </c:pt>
                <c:pt idx="69">
                  <c:v>14047</c:v>
                </c:pt>
                <c:pt idx="70">
                  <c:v>69340</c:v>
                </c:pt>
                <c:pt idx="71">
                  <c:v>56665</c:v>
                </c:pt>
                <c:pt idx="72">
                  <c:v>87098</c:v>
                </c:pt>
                <c:pt idx="73">
                  <c:v>66280</c:v>
                </c:pt>
                <c:pt idx="74">
                  <c:v>47229</c:v>
                </c:pt>
                <c:pt idx="75">
                  <c:v>131665</c:v>
                </c:pt>
                <c:pt idx="76">
                  <c:v>102531</c:v>
                </c:pt>
                <c:pt idx="77">
                  <c:v>71301</c:v>
                </c:pt>
                <c:pt idx="78">
                  <c:v>19865</c:v>
                </c:pt>
                <c:pt idx="79">
                  <c:v>4372</c:v>
                </c:pt>
                <c:pt idx="80">
                  <c:v>136487</c:v>
                </c:pt>
                <c:pt idx="81">
                  <c:v>133585</c:v>
                </c:pt>
                <c:pt idx="82">
                  <c:v>133606</c:v>
                </c:pt>
                <c:pt idx="83">
                  <c:v>30694</c:v>
                </c:pt>
                <c:pt idx="84">
                  <c:v>30369</c:v>
                </c:pt>
                <c:pt idx="85">
                  <c:v>54061</c:v>
                </c:pt>
                <c:pt idx="86">
                  <c:v>36203</c:v>
                </c:pt>
                <c:pt idx="87">
                  <c:v>167211</c:v>
                </c:pt>
                <c:pt idx="88">
                  <c:v>24898</c:v>
                </c:pt>
                <c:pt idx="89">
                  <c:v>24676</c:v>
                </c:pt>
                <c:pt idx="90">
                  <c:v>109475</c:v>
                </c:pt>
                <c:pt idx="91">
                  <c:v>103928</c:v>
                </c:pt>
                <c:pt idx="92">
                  <c:v>74101</c:v>
                </c:pt>
                <c:pt idx="93">
                  <c:v>430</c:v>
                </c:pt>
                <c:pt idx="94">
                  <c:v>171052</c:v>
                </c:pt>
                <c:pt idx="95">
                  <c:v>70030</c:v>
                </c:pt>
                <c:pt idx="96">
                  <c:v>128131</c:v>
                </c:pt>
                <c:pt idx="97">
                  <c:v>75142</c:v>
                </c:pt>
                <c:pt idx="98">
                  <c:v>68948</c:v>
                </c:pt>
                <c:pt idx="99">
                  <c:v>34187</c:v>
                </c:pt>
                <c:pt idx="100">
                  <c:v>39440</c:v>
                </c:pt>
                <c:pt idx="101">
                  <c:v>34188</c:v>
                </c:pt>
                <c:pt idx="102">
                  <c:v>88452</c:v>
                </c:pt>
                <c:pt idx="103">
                  <c:v>36613</c:v>
                </c:pt>
                <c:pt idx="104">
                  <c:v>43277</c:v>
                </c:pt>
                <c:pt idx="105">
                  <c:v>-24267</c:v>
                </c:pt>
                <c:pt idx="106">
                  <c:v>164002</c:v>
                </c:pt>
                <c:pt idx="107">
                  <c:v>5828</c:v>
                </c:pt>
                <c:pt idx="108">
                  <c:v>57418</c:v>
                </c:pt>
                <c:pt idx="109">
                  <c:v>79503</c:v>
                </c:pt>
                <c:pt idx="110">
                  <c:v>128804</c:v>
                </c:pt>
                <c:pt idx="111">
                  <c:v>106035</c:v>
                </c:pt>
                <c:pt idx="112">
                  <c:v>90126</c:v>
                </c:pt>
                <c:pt idx="113">
                  <c:v>1038</c:v>
                </c:pt>
                <c:pt idx="114">
                  <c:v>171076</c:v>
                </c:pt>
                <c:pt idx="115">
                  <c:v>123359</c:v>
                </c:pt>
                <c:pt idx="116">
                  <c:v>180277</c:v>
                </c:pt>
                <c:pt idx="117">
                  <c:v>140996</c:v>
                </c:pt>
                <c:pt idx="118">
                  <c:v>137315</c:v>
                </c:pt>
                <c:pt idx="119">
                  <c:v>97989</c:v>
                </c:pt>
                <c:pt idx="120">
                  <c:v>53918</c:v>
                </c:pt>
                <c:pt idx="121">
                  <c:v>128863</c:v>
                </c:pt>
                <c:pt idx="122">
                  <c:v>102207</c:v>
                </c:pt>
                <c:pt idx="123">
                  <c:v>35213</c:v>
                </c:pt>
                <c:pt idx="124">
                  <c:v>157955</c:v>
                </c:pt>
                <c:pt idx="125">
                  <c:v>80045</c:v>
                </c:pt>
                <c:pt idx="126">
                  <c:v>99950</c:v>
                </c:pt>
                <c:pt idx="127">
                  <c:v>24892</c:v>
                </c:pt>
                <c:pt idx="128">
                  <c:v>178718</c:v>
                </c:pt>
                <c:pt idx="129">
                  <c:v>129656</c:v>
                </c:pt>
                <c:pt idx="130">
                  <c:v>134069</c:v>
                </c:pt>
                <c:pt idx="131">
                  <c:v>119140</c:v>
                </c:pt>
                <c:pt idx="132">
                  <c:v>68073</c:v>
                </c:pt>
                <c:pt idx="133">
                  <c:v>24096</c:v>
                </c:pt>
                <c:pt idx="134">
                  <c:v>124400</c:v>
                </c:pt>
                <c:pt idx="135">
                  <c:v>152998</c:v>
                </c:pt>
                <c:pt idx="136">
                  <c:v>112127</c:v>
                </c:pt>
                <c:pt idx="137">
                  <c:v>55607</c:v>
                </c:pt>
                <c:pt idx="138">
                  <c:v>69818</c:v>
                </c:pt>
                <c:pt idx="139">
                  <c:v>31017</c:v>
                </c:pt>
                <c:pt idx="140">
                  <c:v>60528</c:v>
                </c:pt>
                <c:pt idx="141">
                  <c:v>147884</c:v>
                </c:pt>
                <c:pt idx="142">
                  <c:v>103326</c:v>
                </c:pt>
                <c:pt idx="143">
                  <c:v>156147</c:v>
                </c:pt>
                <c:pt idx="144">
                  <c:v>12575</c:v>
                </c:pt>
                <c:pt idx="145">
                  <c:v>2322</c:v>
                </c:pt>
                <c:pt idx="146">
                  <c:v>52444</c:v>
                </c:pt>
                <c:pt idx="147">
                  <c:v>86985</c:v>
                </c:pt>
                <c:pt idx="148">
                  <c:v>58321</c:v>
                </c:pt>
                <c:pt idx="149">
                  <c:v>171579</c:v>
                </c:pt>
                <c:pt idx="150">
                  <c:v>14388</c:v>
                </c:pt>
                <c:pt idx="151">
                  <c:v>25660</c:v>
                </c:pt>
                <c:pt idx="152">
                  <c:v>64317</c:v>
                </c:pt>
                <c:pt idx="153">
                  <c:v>115165</c:v>
                </c:pt>
                <c:pt idx="154">
                  <c:v>129892</c:v>
                </c:pt>
                <c:pt idx="155">
                  <c:v>111948</c:v>
                </c:pt>
                <c:pt idx="156">
                  <c:v>139717</c:v>
                </c:pt>
                <c:pt idx="157">
                  <c:v>80145</c:v>
                </c:pt>
                <c:pt idx="158">
                  <c:v>118423</c:v>
                </c:pt>
                <c:pt idx="159">
                  <c:v>7448</c:v>
                </c:pt>
                <c:pt idx="160">
                  <c:v>60666</c:v>
                </c:pt>
                <c:pt idx="161">
                  <c:v>112283</c:v>
                </c:pt>
                <c:pt idx="162">
                  <c:v>28393</c:v>
                </c:pt>
                <c:pt idx="163">
                  <c:v>150160</c:v>
                </c:pt>
                <c:pt idx="164">
                  <c:v>120318</c:v>
                </c:pt>
                <c:pt idx="165">
                  <c:v>160384</c:v>
                </c:pt>
                <c:pt idx="166">
                  <c:v>92494</c:v>
                </c:pt>
                <c:pt idx="167">
                  <c:v>78834</c:v>
                </c:pt>
                <c:pt idx="168">
                  <c:v>39828</c:v>
                </c:pt>
                <c:pt idx="169">
                  <c:v>160207</c:v>
                </c:pt>
                <c:pt idx="170">
                  <c:v>91780</c:v>
                </c:pt>
                <c:pt idx="171">
                  <c:v>146999</c:v>
                </c:pt>
                <c:pt idx="172">
                  <c:v>102662</c:v>
                </c:pt>
                <c:pt idx="173">
                  <c:v>44490</c:v>
                </c:pt>
                <c:pt idx="174">
                  <c:v>23061</c:v>
                </c:pt>
                <c:pt idx="175">
                  <c:v>174810</c:v>
                </c:pt>
                <c:pt idx="176">
                  <c:v>157548</c:v>
                </c:pt>
                <c:pt idx="177">
                  <c:v>68222</c:v>
                </c:pt>
                <c:pt idx="178">
                  <c:v>37530</c:v>
                </c:pt>
                <c:pt idx="179">
                  <c:v>19274</c:v>
                </c:pt>
                <c:pt idx="180">
                  <c:v>131466</c:v>
                </c:pt>
                <c:pt idx="181">
                  <c:v>131207</c:v>
                </c:pt>
                <c:pt idx="182">
                  <c:v>47930</c:v>
                </c:pt>
                <c:pt idx="183">
                  <c:v>-5698</c:v>
                </c:pt>
                <c:pt idx="184">
                  <c:v>141747</c:v>
                </c:pt>
                <c:pt idx="185">
                  <c:v>53775</c:v>
                </c:pt>
                <c:pt idx="186">
                  <c:v>153393</c:v>
                </c:pt>
                <c:pt idx="187">
                  <c:v>29927</c:v>
                </c:pt>
                <c:pt idx="188">
                  <c:v>66880</c:v>
                </c:pt>
                <c:pt idx="189">
                  <c:v>115645</c:v>
                </c:pt>
                <c:pt idx="190">
                  <c:v>39729</c:v>
                </c:pt>
                <c:pt idx="191">
                  <c:v>61144</c:v>
                </c:pt>
                <c:pt idx="192">
                  <c:v>37612</c:v>
                </c:pt>
                <c:pt idx="193">
                  <c:v>132565</c:v>
                </c:pt>
                <c:pt idx="194">
                  <c:v>107705</c:v>
                </c:pt>
                <c:pt idx="195">
                  <c:v>58224</c:v>
                </c:pt>
                <c:pt idx="196">
                  <c:v>17090</c:v>
                </c:pt>
                <c:pt idx="197">
                  <c:v>129577</c:v>
                </c:pt>
                <c:pt idx="198">
                  <c:v>59662</c:v>
                </c:pt>
                <c:pt idx="199">
                  <c:v>128277</c:v>
                </c:pt>
                <c:pt idx="200">
                  <c:v>40784</c:v>
                </c:pt>
                <c:pt idx="201">
                  <c:v>18482</c:v>
                </c:pt>
                <c:pt idx="202">
                  <c:v>46010</c:v>
                </c:pt>
                <c:pt idx="203">
                  <c:v>133171</c:v>
                </c:pt>
                <c:pt idx="204">
                  <c:v>152609</c:v>
                </c:pt>
                <c:pt idx="205">
                  <c:v>104405</c:v>
                </c:pt>
                <c:pt idx="206">
                  <c:v>112098</c:v>
                </c:pt>
                <c:pt idx="207">
                  <c:v>106805</c:v>
                </c:pt>
                <c:pt idx="208">
                  <c:v>130957</c:v>
                </c:pt>
                <c:pt idx="209">
                  <c:v>63747</c:v>
                </c:pt>
                <c:pt idx="210">
                  <c:v>48746</c:v>
                </c:pt>
                <c:pt idx="211">
                  <c:v>7723</c:v>
                </c:pt>
                <c:pt idx="212">
                  <c:v>123107</c:v>
                </c:pt>
                <c:pt idx="213">
                  <c:v>148462</c:v>
                </c:pt>
                <c:pt idx="214">
                  <c:v>-6936</c:v>
                </c:pt>
                <c:pt idx="215">
                  <c:v>96048</c:v>
                </c:pt>
                <c:pt idx="216">
                  <c:v>106024</c:v>
                </c:pt>
                <c:pt idx="217">
                  <c:v>149107</c:v>
                </c:pt>
                <c:pt idx="218">
                  <c:v>98450</c:v>
                </c:pt>
                <c:pt idx="219">
                  <c:v>9112</c:v>
                </c:pt>
                <c:pt idx="220">
                  <c:v>25485</c:v>
                </c:pt>
                <c:pt idx="221">
                  <c:v>124762</c:v>
                </c:pt>
                <c:pt idx="222">
                  <c:v>28227</c:v>
                </c:pt>
                <c:pt idx="223">
                  <c:v>149896</c:v>
                </c:pt>
                <c:pt idx="224">
                  <c:v>94846</c:v>
                </c:pt>
                <c:pt idx="225">
                  <c:v>131868</c:v>
                </c:pt>
                <c:pt idx="226">
                  <c:v>76301</c:v>
                </c:pt>
                <c:pt idx="227">
                  <c:v>164640</c:v>
                </c:pt>
                <c:pt idx="228">
                  <c:v>115882</c:v>
                </c:pt>
                <c:pt idx="229">
                  <c:v>120518</c:v>
                </c:pt>
                <c:pt idx="230">
                  <c:v>20157</c:v>
                </c:pt>
                <c:pt idx="231">
                  <c:v>113547</c:v>
                </c:pt>
                <c:pt idx="232">
                  <c:v>92010</c:v>
                </c:pt>
                <c:pt idx="233">
                  <c:v>107356</c:v>
                </c:pt>
                <c:pt idx="234">
                  <c:v>22284</c:v>
                </c:pt>
                <c:pt idx="235">
                  <c:v>146982</c:v>
                </c:pt>
                <c:pt idx="236">
                  <c:v>148778</c:v>
                </c:pt>
                <c:pt idx="237">
                  <c:v>72076</c:v>
                </c:pt>
                <c:pt idx="238">
                  <c:v>82372</c:v>
                </c:pt>
                <c:pt idx="239">
                  <c:v>102389</c:v>
                </c:pt>
                <c:pt idx="240">
                  <c:v>111050</c:v>
                </c:pt>
                <c:pt idx="241">
                  <c:v>112398</c:v>
                </c:pt>
                <c:pt idx="242">
                  <c:v>-17395</c:v>
                </c:pt>
                <c:pt idx="243">
                  <c:v>65203</c:v>
                </c:pt>
                <c:pt idx="244">
                  <c:v>26520</c:v>
                </c:pt>
                <c:pt idx="245">
                  <c:v>86250</c:v>
                </c:pt>
                <c:pt idx="246">
                  <c:v>20667</c:v>
                </c:pt>
                <c:pt idx="247">
                  <c:v>78288</c:v>
                </c:pt>
                <c:pt idx="248">
                  <c:v>79244</c:v>
                </c:pt>
                <c:pt idx="249">
                  <c:v>101013</c:v>
                </c:pt>
                <c:pt idx="250">
                  <c:v>42975</c:v>
                </c:pt>
                <c:pt idx="251">
                  <c:v>105921</c:v>
                </c:pt>
                <c:pt idx="252">
                  <c:v>140769</c:v>
                </c:pt>
                <c:pt idx="253">
                  <c:v>75689</c:v>
                </c:pt>
                <c:pt idx="254">
                  <c:v>23692</c:v>
                </c:pt>
                <c:pt idx="255">
                  <c:v>54370</c:v>
                </c:pt>
                <c:pt idx="256">
                  <c:v>143726</c:v>
                </c:pt>
                <c:pt idx="257">
                  <c:v>106650</c:v>
                </c:pt>
                <c:pt idx="258">
                  <c:v>171140</c:v>
                </c:pt>
                <c:pt idx="259">
                  <c:v>30355</c:v>
                </c:pt>
                <c:pt idx="260">
                  <c:v>151638</c:v>
                </c:pt>
                <c:pt idx="261">
                  <c:v>40906</c:v>
                </c:pt>
                <c:pt idx="262">
                  <c:v>100310</c:v>
                </c:pt>
                <c:pt idx="263">
                  <c:v>17221</c:v>
                </c:pt>
                <c:pt idx="264">
                  <c:v>126322</c:v>
                </c:pt>
                <c:pt idx="265">
                  <c:v>92492</c:v>
                </c:pt>
                <c:pt idx="266">
                  <c:v>50895</c:v>
                </c:pt>
                <c:pt idx="267">
                  <c:v>79812</c:v>
                </c:pt>
                <c:pt idx="268">
                  <c:v>44319</c:v>
                </c:pt>
                <c:pt idx="269">
                  <c:v>42925</c:v>
                </c:pt>
                <c:pt idx="270">
                  <c:v>6616</c:v>
                </c:pt>
                <c:pt idx="271">
                  <c:v>81995</c:v>
                </c:pt>
                <c:pt idx="272">
                  <c:v>60366</c:v>
                </c:pt>
                <c:pt idx="273">
                  <c:v>87853</c:v>
                </c:pt>
                <c:pt idx="274">
                  <c:v>80401</c:v>
                </c:pt>
                <c:pt idx="275">
                  <c:v>107308</c:v>
                </c:pt>
                <c:pt idx="276">
                  <c:v>82226</c:v>
                </c:pt>
                <c:pt idx="277">
                  <c:v>10375</c:v>
                </c:pt>
                <c:pt idx="278">
                  <c:v>135822</c:v>
                </c:pt>
                <c:pt idx="279">
                  <c:v>62775</c:v>
                </c:pt>
                <c:pt idx="280">
                  <c:v>45983</c:v>
                </c:pt>
                <c:pt idx="281">
                  <c:v>146389</c:v>
                </c:pt>
                <c:pt idx="282">
                  <c:v>103382</c:v>
                </c:pt>
                <c:pt idx="283">
                  <c:v>48843</c:v>
                </c:pt>
                <c:pt idx="284">
                  <c:v>29694</c:v>
                </c:pt>
                <c:pt idx="285">
                  <c:v>136734</c:v>
                </c:pt>
                <c:pt idx="286">
                  <c:v>47925</c:v>
                </c:pt>
                <c:pt idx="287">
                  <c:v>109154</c:v>
                </c:pt>
                <c:pt idx="288">
                  <c:v>108820</c:v>
                </c:pt>
                <c:pt idx="289">
                  <c:v>136882</c:v>
                </c:pt>
                <c:pt idx="290">
                  <c:v>-18384</c:v>
                </c:pt>
                <c:pt idx="291">
                  <c:v>96363</c:v>
                </c:pt>
                <c:pt idx="292">
                  <c:v>125904</c:v>
                </c:pt>
                <c:pt idx="293">
                  <c:v>125057</c:v>
                </c:pt>
                <c:pt idx="294">
                  <c:v>-14362</c:v>
                </c:pt>
                <c:pt idx="295">
                  <c:v>128896</c:v>
                </c:pt>
                <c:pt idx="296">
                  <c:v>22038</c:v>
                </c:pt>
                <c:pt idx="297">
                  <c:v>89600</c:v>
                </c:pt>
                <c:pt idx="298">
                  <c:v>50843</c:v>
                </c:pt>
                <c:pt idx="299">
                  <c:v>127794</c:v>
                </c:pt>
                <c:pt idx="300">
                  <c:v>112988</c:v>
                </c:pt>
                <c:pt idx="301">
                  <c:v>33370</c:v>
                </c:pt>
                <c:pt idx="302">
                  <c:v>13229</c:v>
                </c:pt>
                <c:pt idx="303">
                  <c:v>40427</c:v>
                </c:pt>
                <c:pt idx="304">
                  <c:v>138848</c:v>
                </c:pt>
                <c:pt idx="305">
                  <c:v>59837</c:v>
                </c:pt>
                <c:pt idx="306">
                  <c:v>37009</c:v>
                </c:pt>
                <c:pt idx="307">
                  <c:v>134831</c:v>
                </c:pt>
                <c:pt idx="308">
                  <c:v>59067</c:v>
                </c:pt>
                <c:pt idx="309">
                  <c:v>71511</c:v>
                </c:pt>
                <c:pt idx="310">
                  <c:v>126312</c:v>
                </c:pt>
                <c:pt idx="311">
                  <c:v>87875</c:v>
                </c:pt>
                <c:pt idx="312">
                  <c:v>47121</c:v>
                </c:pt>
                <c:pt idx="313">
                  <c:v>23371</c:v>
                </c:pt>
                <c:pt idx="314">
                  <c:v>171580</c:v>
                </c:pt>
                <c:pt idx="315">
                  <c:v>33120</c:v>
                </c:pt>
                <c:pt idx="316">
                  <c:v>44126</c:v>
                </c:pt>
                <c:pt idx="317">
                  <c:v>104008</c:v>
                </c:pt>
                <c:pt idx="318">
                  <c:v>79935</c:v>
                </c:pt>
                <c:pt idx="319">
                  <c:v>110072</c:v>
                </c:pt>
                <c:pt idx="320">
                  <c:v>67927</c:v>
                </c:pt>
                <c:pt idx="321">
                  <c:v>48808</c:v>
                </c:pt>
                <c:pt idx="322">
                  <c:v>67306</c:v>
                </c:pt>
                <c:pt idx="323">
                  <c:v>83483</c:v>
                </c:pt>
                <c:pt idx="324">
                  <c:v>101399</c:v>
                </c:pt>
                <c:pt idx="325">
                  <c:v>160864</c:v>
                </c:pt>
                <c:pt idx="326">
                  <c:v>127639</c:v>
                </c:pt>
                <c:pt idx="327">
                  <c:v>151862</c:v>
                </c:pt>
                <c:pt idx="328">
                  <c:v>119295</c:v>
                </c:pt>
                <c:pt idx="329">
                  <c:v>-2612</c:v>
                </c:pt>
                <c:pt idx="330">
                  <c:v>77591</c:v>
                </c:pt>
                <c:pt idx="331">
                  <c:v>24621</c:v>
                </c:pt>
                <c:pt idx="332">
                  <c:v>159242</c:v>
                </c:pt>
                <c:pt idx="333">
                  <c:v>86953</c:v>
                </c:pt>
                <c:pt idx="334">
                  <c:v>112456</c:v>
                </c:pt>
                <c:pt idx="335">
                  <c:v>127702</c:v>
                </c:pt>
                <c:pt idx="336">
                  <c:v>112400</c:v>
                </c:pt>
                <c:pt idx="337">
                  <c:v>30828</c:v>
                </c:pt>
                <c:pt idx="338">
                  <c:v>39812</c:v>
                </c:pt>
                <c:pt idx="339">
                  <c:v>167502</c:v>
                </c:pt>
                <c:pt idx="340">
                  <c:v>45481</c:v>
                </c:pt>
                <c:pt idx="341">
                  <c:v>67025</c:v>
                </c:pt>
                <c:pt idx="342">
                  <c:v>85209</c:v>
                </c:pt>
                <c:pt idx="343">
                  <c:v>146026</c:v>
                </c:pt>
                <c:pt idx="344">
                  <c:v>64993</c:v>
                </c:pt>
                <c:pt idx="345">
                  <c:v>113021</c:v>
                </c:pt>
                <c:pt idx="346">
                  <c:v>111422</c:v>
                </c:pt>
                <c:pt idx="347">
                  <c:v>126787</c:v>
                </c:pt>
                <c:pt idx="348">
                  <c:v>138291</c:v>
                </c:pt>
                <c:pt idx="349">
                  <c:v>89668</c:v>
                </c:pt>
                <c:pt idx="350">
                  <c:v>68414</c:v>
                </c:pt>
                <c:pt idx="351">
                  <c:v>9494</c:v>
                </c:pt>
                <c:pt idx="352">
                  <c:v>62598</c:v>
                </c:pt>
                <c:pt idx="353">
                  <c:v>99679</c:v>
                </c:pt>
                <c:pt idx="354">
                  <c:v>58192</c:v>
                </c:pt>
                <c:pt idx="355">
                  <c:v>66627</c:v>
                </c:pt>
                <c:pt idx="356">
                  <c:v>32630</c:v>
                </c:pt>
                <c:pt idx="357">
                  <c:v>1954</c:v>
                </c:pt>
                <c:pt idx="358">
                  <c:v>94813</c:v>
                </c:pt>
                <c:pt idx="359">
                  <c:v>122698</c:v>
                </c:pt>
                <c:pt idx="360">
                  <c:v>154827</c:v>
                </c:pt>
                <c:pt idx="361">
                  <c:v>49538</c:v>
                </c:pt>
                <c:pt idx="362">
                  <c:v>56821</c:v>
                </c:pt>
                <c:pt idx="363">
                  <c:v>123016</c:v>
                </c:pt>
                <c:pt idx="364">
                  <c:v>138030</c:v>
                </c:pt>
                <c:pt idx="365">
                  <c:v>76453</c:v>
                </c:pt>
                <c:pt idx="366">
                  <c:v>139665</c:v>
                </c:pt>
                <c:pt idx="367">
                  <c:v>41279</c:v>
                </c:pt>
                <c:pt idx="368">
                  <c:v>161589</c:v>
                </c:pt>
                <c:pt idx="369">
                  <c:v>38959</c:v>
                </c:pt>
                <c:pt idx="370">
                  <c:v>57110</c:v>
                </c:pt>
                <c:pt idx="371">
                  <c:v>11714</c:v>
                </c:pt>
                <c:pt idx="372">
                  <c:v>61239</c:v>
                </c:pt>
                <c:pt idx="373">
                  <c:v>43040</c:v>
                </c:pt>
                <c:pt idx="374">
                  <c:v>56745</c:v>
                </c:pt>
                <c:pt idx="375">
                  <c:v>47629</c:v>
                </c:pt>
                <c:pt idx="376">
                  <c:v>120021</c:v>
                </c:pt>
                <c:pt idx="377">
                  <c:v>163922</c:v>
                </c:pt>
                <c:pt idx="378">
                  <c:v>28334</c:v>
                </c:pt>
                <c:pt idx="379">
                  <c:v>33211</c:v>
                </c:pt>
                <c:pt idx="380">
                  <c:v>-2913</c:v>
                </c:pt>
                <c:pt idx="381">
                  <c:v>112622</c:v>
                </c:pt>
                <c:pt idx="382">
                  <c:v>171601</c:v>
                </c:pt>
                <c:pt idx="383">
                  <c:v>71020</c:v>
                </c:pt>
                <c:pt idx="384">
                  <c:v>35414</c:v>
                </c:pt>
                <c:pt idx="385">
                  <c:v>100116</c:v>
                </c:pt>
                <c:pt idx="386">
                  <c:v>158755</c:v>
                </c:pt>
                <c:pt idx="387">
                  <c:v>69250</c:v>
                </c:pt>
                <c:pt idx="388">
                  <c:v>7592</c:v>
                </c:pt>
                <c:pt idx="389">
                  <c:v>169324</c:v>
                </c:pt>
                <c:pt idx="390">
                  <c:v>57958</c:v>
                </c:pt>
                <c:pt idx="391">
                  <c:v>140787</c:v>
                </c:pt>
                <c:pt idx="392">
                  <c:v>37427</c:v>
                </c:pt>
                <c:pt idx="393">
                  <c:v>73499</c:v>
                </c:pt>
                <c:pt idx="394">
                  <c:v>155293</c:v>
                </c:pt>
                <c:pt idx="395">
                  <c:v>121573</c:v>
                </c:pt>
                <c:pt idx="396">
                  <c:v>168206</c:v>
                </c:pt>
                <c:pt idx="397">
                  <c:v>68947</c:v>
                </c:pt>
                <c:pt idx="398">
                  <c:v>64682</c:v>
                </c:pt>
                <c:pt idx="399">
                  <c:v>141690</c:v>
                </c:pt>
                <c:pt idx="400">
                  <c:v>87757</c:v>
                </c:pt>
                <c:pt idx="401">
                  <c:v>103915</c:v>
                </c:pt>
                <c:pt idx="402">
                  <c:v>107992</c:v>
                </c:pt>
                <c:pt idx="403">
                  <c:v>30099</c:v>
                </c:pt>
                <c:pt idx="404">
                  <c:v>20609</c:v>
                </c:pt>
                <c:pt idx="405">
                  <c:v>-3379</c:v>
                </c:pt>
                <c:pt idx="406">
                  <c:v>82698</c:v>
                </c:pt>
                <c:pt idx="407">
                  <c:v>34035</c:v>
                </c:pt>
                <c:pt idx="408">
                  <c:v>75493</c:v>
                </c:pt>
                <c:pt idx="409">
                  <c:v>-20</c:v>
                </c:pt>
                <c:pt idx="410">
                  <c:v>81746</c:v>
                </c:pt>
                <c:pt idx="411">
                  <c:v>86186</c:v>
                </c:pt>
                <c:pt idx="412">
                  <c:v>-11292</c:v>
                </c:pt>
                <c:pt idx="413">
                  <c:v>67697</c:v>
                </c:pt>
                <c:pt idx="414">
                  <c:v>52082</c:v>
                </c:pt>
                <c:pt idx="415">
                  <c:v>145579</c:v>
                </c:pt>
                <c:pt idx="416">
                  <c:v>153696</c:v>
                </c:pt>
                <c:pt idx="417">
                  <c:v>77936</c:v>
                </c:pt>
                <c:pt idx="418">
                  <c:v>134867</c:v>
                </c:pt>
                <c:pt idx="419">
                  <c:v>129664</c:v>
                </c:pt>
                <c:pt idx="420">
                  <c:v>51189</c:v>
                </c:pt>
                <c:pt idx="421">
                  <c:v>119314</c:v>
                </c:pt>
                <c:pt idx="422">
                  <c:v>54381</c:v>
                </c:pt>
                <c:pt idx="423">
                  <c:v>31032</c:v>
                </c:pt>
                <c:pt idx="424">
                  <c:v>100168</c:v>
                </c:pt>
                <c:pt idx="425">
                  <c:v>57931</c:v>
                </c:pt>
                <c:pt idx="426">
                  <c:v>137010</c:v>
                </c:pt>
                <c:pt idx="427">
                  <c:v>152642</c:v>
                </c:pt>
                <c:pt idx="428">
                  <c:v>18749</c:v>
                </c:pt>
                <c:pt idx="429">
                  <c:v>125397</c:v>
                </c:pt>
                <c:pt idx="430">
                  <c:v>74471</c:v>
                </c:pt>
                <c:pt idx="431">
                  <c:v>52717</c:v>
                </c:pt>
                <c:pt idx="432">
                  <c:v>154318</c:v>
                </c:pt>
                <c:pt idx="433">
                  <c:v>75829</c:v>
                </c:pt>
                <c:pt idx="434">
                  <c:v>108423</c:v>
                </c:pt>
                <c:pt idx="435">
                  <c:v>152318</c:v>
                </c:pt>
                <c:pt idx="436">
                  <c:v>90698</c:v>
                </c:pt>
                <c:pt idx="437">
                  <c:v>25642</c:v>
                </c:pt>
                <c:pt idx="438">
                  <c:v>77821</c:v>
                </c:pt>
                <c:pt idx="439">
                  <c:v>110391</c:v>
                </c:pt>
                <c:pt idx="440">
                  <c:v>63082</c:v>
                </c:pt>
                <c:pt idx="441">
                  <c:v>42353</c:v>
                </c:pt>
                <c:pt idx="442">
                  <c:v>117602</c:v>
                </c:pt>
                <c:pt idx="443">
                  <c:v>62560</c:v>
                </c:pt>
                <c:pt idx="444">
                  <c:v>128233</c:v>
                </c:pt>
                <c:pt idx="445">
                  <c:v>151189</c:v>
                </c:pt>
                <c:pt idx="446">
                  <c:v>158616</c:v>
                </c:pt>
                <c:pt idx="447">
                  <c:v>122943</c:v>
                </c:pt>
                <c:pt idx="448">
                  <c:v>43058</c:v>
                </c:pt>
                <c:pt idx="449">
                  <c:v>109178</c:v>
                </c:pt>
                <c:pt idx="450">
                  <c:v>39780</c:v>
                </c:pt>
                <c:pt idx="451">
                  <c:v>34125</c:v>
                </c:pt>
                <c:pt idx="452">
                  <c:v>3050</c:v>
                </c:pt>
                <c:pt idx="453">
                  <c:v>59646</c:v>
                </c:pt>
                <c:pt idx="454">
                  <c:v>93046</c:v>
                </c:pt>
                <c:pt idx="455">
                  <c:v>87713</c:v>
                </c:pt>
                <c:pt idx="456">
                  <c:v>126180</c:v>
                </c:pt>
                <c:pt idx="457">
                  <c:v>46407</c:v>
                </c:pt>
                <c:pt idx="458">
                  <c:v>87279</c:v>
                </c:pt>
                <c:pt idx="459">
                  <c:v>36164</c:v>
                </c:pt>
                <c:pt idx="460">
                  <c:v>116982</c:v>
                </c:pt>
                <c:pt idx="461">
                  <c:v>101729</c:v>
                </c:pt>
                <c:pt idx="462">
                  <c:v>13169</c:v>
                </c:pt>
                <c:pt idx="463">
                  <c:v>140243</c:v>
                </c:pt>
                <c:pt idx="464">
                  <c:v>43040</c:v>
                </c:pt>
                <c:pt idx="465">
                  <c:v>87785</c:v>
                </c:pt>
                <c:pt idx="466">
                  <c:v>138109</c:v>
                </c:pt>
                <c:pt idx="467">
                  <c:v>126621</c:v>
                </c:pt>
                <c:pt idx="468">
                  <c:v>95783</c:v>
                </c:pt>
                <c:pt idx="469">
                  <c:v>35488</c:v>
                </c:pt>
                <c:pt idx="470">
                  <c:v>2265</c:v>
                </c:pt>
                <c:pt idx="471">
                  <c:v>104949</c:v>
                </c:pt>
                <c:pt idx="472">
                  <c:v>135577</c:v>
                </c:pt>
                <c:pt idx="473">
                  <c:v>164491</c:v>
                </c:pt>
                <c:pt idx="474">
                  <c:v>133434</c:v>
                </c:pt>
                <c:pt idx="475">
                  <c:v>127982</c:v>
                </c:pt>
                <c:pt idx="476">
                  <c:v>139263</c:v>
                </c:pt>
                <c:pt idx="477">
                  <c:v>55055</c:v>
                </c:pt>
                <c:pt idx="478">
                  <c:v>79138</c:v>
                </c:pt>
                <c:pt idx="479">
                  <c:v>97184</c:v>
                </c:pt>
                <c:pt idx="480">
                  <c:v>44390</c:v>
                </c:pt>
                <c:pt idx="481">
                  <c:v>53476</c:v>
                </c:pt>
                <c:pt idx="482">
                  <c:v>144133</c:v>
                </c:pt>
                <c:pt idx="483">
                  <c:v>128338</c:v>
                </c:pt>
                <c:pt idx="484">
                  <c:v>51298</c:v>
                </c:pt>
                <c:pt idx="485">
                  <c:v>96982</c:v>
                </c:pt>
                <c:pt idx="486">
                  <c:v>-17273</c:v>
                </c:pt>
                <c:pt idx="487">
                  <c:v>39859</c:v>
                </c:pt>
                <c:pt idx="488">
                  <c:v>14893</c:v>
                </c:pt>
                <c:pt idx="489">
                  <c:v>8419</c:v>
                </c:pt>
                <c:pt idx="490">
                  <c:v>79370</c:v>
                </c:pt>
                <c:pt idx="491">
                  <c:v>9332</c:v>
                </c:pt>
                <c:pt idx="492">
                  <c:v>62459</c:v>
                </c:pt>
                <c:pt idx="493">
                  <c:v>21590</c:v>
                </c:pt>
                <c:pt idx="494">
                  <c:v>12659</c:v>
                </c:pt>
                <c:pt idx="495">
                  <c:v>157280</c:v>
                </c:pt>
                <c:pt idx="496">
                  <c:v>180277</c:v>
                </c:pt>
                <c:pt idx="497">
                  <c:v>61258</c:v>
                </c:pt>
              </c:numCache>
            </c:numRef>
          </c:yVal>
          <c:smooth val="0"/>
          <c:extLst>
            <c:ext xmlns:c16="http://schemas.microsoft.com/office/drawing/2014/chart" uri="{C3380CC4-5D6E-409C-BE32-E72D297353CC}">
              <c16:uniqueId val="{00000000-A6AB-4DBB-B768-41D1E258F8AE}"/>
            </c:ext>
          </c:extLst>
        </c:ser>
        <c:dLbls>
          <c:showLegendKey val="0"/>
          <c:showVal val="0"/>
          <c:showCatName val="0"/>
          <c:showSerName val="0"/>
          <c:showPercent val="0"/>
          <c:showBubbleSize val="0"/>
        </c:dLbls>
        <c:axId val="1496861279"/>
        <c:axId val="1496860319"/>
      </c:scatterChart>
      <c:valAx>
        <c:axId val="1496861279"/>
        <c:scaling>
          <c:orientation val="minMax"/>
          <c:min val="5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6860319"/>
        <c:crosses val="autoZero"/>
        <c:crossBetween val="midCat"/>
      </c:valAx>
      <c:valAx>
        <c:axId val="149686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6861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Operating Income VS Profit Before Tax (PBT)</a:t>
            </a: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Powerquery!$D$1</c:f>
              <c:strCache>
                <c:ptCount val="1"/>
                <c:pt idx="0">
                  <c:v>Sum of PBT</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Powerquery!$C$2:$C$501</c:f>
              <c:numCache>
                <c:formatCode>General</c:formatCode>
                <c:ptCount val="500"/>
                <c:pt idx="0">
                  <c:v>167023</c:v>
                </c:pt>
                <c:pt idx="1">
                  <c:v>188859</c:v>
                </c:pt>
                <c:pt idx="2">
                  <c:v>63989</c:v>
                </c:pt>
                <c:pt idx="3">
                  <c:v>188544</c:v>
                </c:pt>
                <c:pt idx="4">
                  <c:v>157387</c:v>
                </c:pt>
                <c:pt idx="5">
                  <c:v>6192</c:v>
                </c:pt>
                <c:pt idx="6">
                  <c:v>153220</c:v>
                </c:pt>
                <c:pt idx="7">
                  <c:v>90089</c:v>
                </c:pt>
                <c:pt idx="8">
                  <c:v>75993</c:v>
                </c:pt>
                <c:pt idx="9">
                  <c:v>133012</c:v>
                </c:pt>
                <c:pt idx="10">
                  <c:v>212813</c:v>
                </c:pt>
                <c:pt idx="11">
                  <c:v>67539</c:v>
                </c:pt>
                <c:pt idx="12">
                  <c:v>24794</c:v>
                </c:pt>
                <c:pt idx="13">
                  <c:v>134899</c:v>
                </c:pt>
                <c:pt idx="14">
                  <c:v>191286</c:v>
                </c:pt>
                <c:pt idx="15">
                  <c:v>244451</c:v>
                </c:pt>
                <c:pt idx="16">
                  <c:v>284830</c:v>
                </c:pt>
                <c:pt idx="17">
                  <c:v>143686</c:v>
                </c:pt>
                <c:pt idx="18">
                  <c:v>143909</c:v>
                </c:pt>
                <c:pt idx="19">
                  <c:v>19469</c:v>
                </c:pt>
                <c:pt idx="20">
                  <c:v>92374</c:v>
                </c:pt>
                <c:pt idx="21">
                  <c:v>107245</c:v>
                </c:pt>
                <c:pt idx="22">
                  <c:v>116402</c:v>
                </c:pt>
                <c:pt idx="23">
                  <c:v>125461</c:v>
                </c:pt>
                <c:pt idx="24">
                  <c:v>136889</c:v>
                </c:pt>
                <c:pt idx="25">
                  <c:v>175966</c:v>
                </c:pt>
                <c:pt idx="26">
                  <c:v>172005</c:v>
                </c:pt>
                <c:pt idx="27">
                  <c:v>191560</c:v>
                </c:pt>
                <c:pt idx="28">
                  <c:v>194970</c:v>
                </c:pt>
                <c:pt idx="29">
                  <c:v>28708</c:v>
                </c:pt>
                <c:pt idx="30">
                  <c:v>86254</c:v>
                </c:pt>
                <c:pt idx="31">
                  <c:v>187082</c:v>
                </c:pt>
                <c:pt idx="32">
                  <c:v>147225</c:v>
                </c:pt>
                <c:pt idx="33">
                  <c:v>228512</c:v>
                </c:pt>
                <c:pt idx="34">
                  <c:v>112511</c:v>
                </c:pt>
                <c:pt idx="35">
                  <c:v>90434</c:v>
                </c:pt>
                <c:pt idx="36">
                  <c:v>136156</c:v>
                </c:pt>
                <c:pt idx="37">
                  <c:v>221866</c:v>
                </c:pt>
                <c:pt idx="38">
                  <c:v>139623</c:v>
                </c:pt>
                <c:pt idx="39">
                  <c:v>166551</c:v>
                </c:pt>
                <c:pt idx="40">
                  <c:v>156298</c:v>
                </c:pt>
                <c:pt idx="41">
                  <c:v>154068</c:v>
                </c:pt>
                <c:pt idx="42">
                  <c:v>115018</c:v>
                </c:pt>
                <c:pt idx="43">
                  <c:v>125044</c:v>
                </c:pt>
                <c:pt idx="44">
                  <c:v>108091</c:v>
                </c:pt>
                <c:pt idx="45">
                  <c:v>128785</c:v>
                </c:pt>
                <c:pt idx="46">
                  <c:v>84802</c:v>
                </c:pt>
                <c:pt idx="47">
                  <c:v>103710</c:v>
                </c:pt>
                <c:pt idx="48">
                  <c:v>92032</c:v>
                </c:pt>
                <c:pt idx="49">
                  <c:v>116563</c:v>
                </c:pt>
                <c:pt idx="50">
                  <c:v>87661</c:v>
                </c:pt>
                <c:pt idx="51">
                  <c:v>87668</c:v>
                </c:pt>
                <c:pt idx="52">
                  <c:v>181667</c:v>
                </c:pt>
                <c:pt idx="53">
                  <c:v>207974</c:v>
                </c:pt>
                <c:pt idx="54">
                  <c:v>159626</c:v>
                </c:pt>
                <c:pt idx="55">
                  <c:v>200117</c:v>
                </c:pt>
                <c:pt idx="56">
                  <c:v>237473</c:v>
                </c:pt>
                <c:pt idx="57">
                  <c:v>220446</c:v>
                </c:pt>
                <c:pt idx="58">
                  <c:v>91069</c:v>
                </c:pt>
                <c:pt idx="59">
                  <c:v>187457</c:v>
                </c:pt>
                <c:pt idx="60">
                  <c:v>101514</c:v>
                </c:pt>
                <c:pt idx="61">
                  <c:v>163430</c:v>
                </c:pt>
                <c:pt idx="62">
                  <c:v>54822</c:v>
                </c:pt>
                <c:pt idx="63">
                  <c:v>108799</c:v>
                </c:pt>
                <c:pt idx="64">
                  <c:v>156504</c:v>
                </c:pt>
                <c:pt idx="65">
                  <c:v>218268</c:v>
                </c:pt>
                <c:pt idx="66">
                  <c:v>133819</c:v>
                </c:pt>
                <c:pt idx="67">
                  <c:v>217614</c:v>
                </c:pt>
                <c:pt idx="68">
                  <c:v>100367</c:v>
                </c:pt>
                <c:pt idx="69">
                  <c:v>94739</c:v>
                </c:pt>
                <c:pt idx="70">
                  <c:v>127181</c:v>
                </c:pt>
                <c:pt idx="71">
                  <c:v>112873</c:v>
                </c:pt>
                <c:pt idx="72">
                  <c:v>162167</c:v>
                </c:pt>
                <c:pt idx="73">
                  <c:v>133560</c:v>
                </c:pt>
                <c:pt idx="74">
                  <c:v>132124</c:v>
                </c:pt>
                <c:pt idx="75">
                  <c:v>239173</c:v>
                </c:pt>
                <c:pt idx="76">
                  <c:v>144220</c:v>
                </c:pt>
                <c:pt idx="77">
                  <c:v>163568</c:v>
                </c:pt>
                <c:pt idx="78">
                  <c:v>86597</c:v>
                </c:pt>
                <c:pt idx="79">
                  <c:v>51334</c:v>
                </c:pt>
                <c:pt idx="80">
                  <c:v>245826</c:v>
                </c:pt>
                <c:pt idx="81">
                  <c:v>208714</c:v>
                </c:pt>
                <c:pt idx="82">
                  <c:v>209377</c:v>
                </c:pt>
                <c:pt idx="83">
                  <c:v>89992</c:v>
                </c:pt>
                <c:pt idx="84">
                  <c:v>133217</c:v>
                </c:pt>
                <c:pt idx="85">
                  <c:v>167106</c:v>
                </c:pt>
                <c:pt idx="86">
                  <c:v>108731</c:v>
                </c:pt>
                <c:pt idx="87">
                  <c:v>198234</c:v>
                </c:pt>
                <c:pt idx="88">
                  <c:v>129563</c:v>
                </c:pt>
                <c:pt idx="89">
                  <c:v>92281</c:v>
                </c:pt>
                <c:pt idx="90">
                  <c:v>163824</c:v>
                </c:pt>
                <c:pt idx="91">
                  <c:v>208719</c:v>
                </c:pt>
                <c:pt idx="92">
                  <c:v>102516</c:v>
                </c:pt>
                <c:pt idx="93">
                  <c:v>40814</c:v>
                </c:pt>
                <c:pt idx="94">
                  <c:v>231995</c:v>
                </c:pt>
                <c:pt idx="95">
                  <c:v>113604</c:v>
                </c:pt>
                <c:pt idx="96">
                  <c:v>186896</c:v>
                </c:pt>
                <c:pt idx="97">
                  <c:v>165222</c:v>
                </c:pt>
                <c:pt idx="98">
                  <c:v>103437</c:v>
                </c:pt>
                <c:pt idx="99">
                  <c:v>128150</c:v>
                </c:pt>
                <c:pt idx="100">
                  <c:v>74694</c:v>
                </c:pt>
                <c:pt idx="101">
                  <c:v>135505</c:v>
                </c:pt>
                <c:pt idx="102">
                  <c:v>134386</c:v>
                </c:pt>
                <c:pt idx="103">
                  <c:v>153852</c:v>
                </c:pt>
                <c:pt idx="104">
                  <c:v>118756</c:v>
                </c:pt>
                <c:pt idx="105">
                  <c:v>32319</c:v>
                </c:pt>
                <c:pt idx="106">
                  <c:v>264721</c:v>
                </c:pt>
                <c:pt idx="107">
                  <c:v>67068</c:v>
                </c:pt>
                <c:pt idx="108">
                  <c:v>101372</c:v>
                </c:pt>
                <c:pt idx="109">
                  <c:v>116410</c:v>
                </c:pt>
                <c:pt idx="110">
                  <c:v>172125</c:v>
                </c:pt>
                <c:pt idx="111">
                  <c:v>130467</c:v>
                </c:pt>
                <c:pt idx="112">
                  <c:v>192684</c:v>
                </c:pt>
                <c:pt idx="113">
                  <c:v>65285</c:v>
                </c:pt>
                <c:pt idx="114">
                  <c:v>209106</c:v>
                </c:pt>
                <c:pt idx="115">
                  <c:v>179213</c:v>
                </c:pt>
                <c:pt idx="116">
                  <c:v>250725</c:v>
                </c:pt>
                <c:pt idx="117">
                  <c:v>167164</c:v>
                </c:pt>
                <c:pt idx="118">
                  <c:v>163686</c:v>
                </c:pt>
                <c:pt idx="119">
                  <c:v>190263</c:v>
                </c:pt>
                <c:pt idx="120">
                  <c:v>149621</c:v>
                </c:pt>
                <c:pt idx="121">
                  <c:v>241299</c:v>
                </c:pt>
                <c:pt idx="122">
                  <c:v>207862</c:v>
                </c:pt>
                <c:pt idx="123">
                  <c:v>93323</c:v>
                </c:pt>
                <c:pt idx="124">
                  <c:v>231396</c:v>
                </c:pt>
                <c:pt idx="125">
                  <c:v>130150</c:v>
                </c:pt>
                <c:pt idx="126">
                  <c:v>198427</c:v>
                </c:pt>
                <c:pt idx="127">
                  <c:v>65020</c:v>
                </c:pt>
                <c:pt idx="128">
                  <c:v>238527</c:v>
                </c:pt>
                <c:pt idx="129">
                  <c:v>242726</c:v>
                </c:pt>
                <c:pt idx="130">
                  <c:v>154304</c:v>
                </c:pt>
                <c:pt idx="131">
                  <c:v>175299</c:v>
                </c:pt>
                <c:pt idx="132">
                  <c:v>176934</c:v>
                </c:pt>
                <c:pt idx="133">
                  <c:v>119142</c:v>
                </c:pt>
                <c:pt idx="134">
                  <c:v>153584</c:v>
                </c:pt>
                <c:pt idx="135">
                  <c:v>265261</c:v>
                </c:pt>
                <c:pt idx="136">
                  <c:v>228936</c:v>
                </c:pt>
                <c:pt idx="137">
                  <c:v>76529</c:v>
                </c:pt>
                <c:pt idx="138">
                  <c:v>157597</c:v>
                </c:pt>
                <c:pt idx="139">
                  <c:v>74727</c:v>
                </c:pt>
                <c:pt idx="140">
                  <c:v>145300</c:v>
                </c:pt>
                <c:pt idx="141">
                  <c:v>243567</c:v>
                </c:pt>
                <c:pt idx="142">
                  <c:v>178644</c:v>
                </c:pt>
                <c:pt idx="143">
                  <c:v>191475</c:v>
                </c:pt>
                <c:pt idx="144">
                  <c:v>92854</c:v>
                </c:pt>
                <c:pt idx="145">
                  <c:v>77498</c:v>
                </c:pt>
                <c:pt idx="146">
                  <c:v>108688</c:v>
                </c:pt>
                <c:pt idx="147">
                  <c:v>144415</c:v>
                </c:pt>
                <c:pt idx="148">
                  <c:v>176266</c:v>
                </c:pt>
                <c:pt idx="149">
                  <c:v>200245</c:v>
                </c:pt>
                <c:pt idx="150">
                  <c:v>105223</c:v>
                </c:pt>
                <c:pt idx="151">
                  <c:v>56055</c:v>
                </c:pt>
                <c:pt idx="152">
                  <c:v>104133</c:v>
                </c:pt>
                <c:pt idx="153">
                  <c:v>210617</c:v>
                </c:pt>
                <c:pt idx="154">
                  <c:v>174334</c:v>
                </c:pt>
                <c:pt idx="155">
                  <c:v>165484</c:v>
                </c:pt>
                <c:pt idx="156">
                  <c:v>186454</c:v>
                </c:pt>
                <c:pt idx="157">
                  <c:v>140951</c:v>
                </c:pt>
                <c:pt idx="158">
                  <c:v>220397</c:v>
                </c:pt>
                <c:pt idx="159">
                  <c:v>101503</c:v>
                </c:pt>
                <c:pt idx="160">
                  <c:v>154172</c:v>
                </c:pt>
                <c:pt idx="161">
                  <c:v>187054</c:v>
                </c:pt>
                <c:pt idx="162">
                  <c:v>50591</c:v>
                </c:pt>
                <c:pt idx="163">
                  <c:v>213040</c:v>
                </c:pt>
                <c:pt idx="164">
                  <c:v>173890</c:v>
                </c:pt>
                <c:pt idx="165">
                  <c:v>210359</c:v>
                </c:pt>
                <c:pt idx="166">
                  <c:v>164414</c:v>
                </c:pt>
                <c:pt idx="167">
                  <c:v>122586</c:v>
                </c:pt>
                <c:pt idx="168">
                  <c:v>157253</c:v>
                </c:pt>
                <c:pt idx="169">
                  <c:v>228963</c:v>
                </c:pt>
                <c:pt idx="170">
                  <c:v>116043</c:v>
                </c:pt>
                <c:pt idx="171">
                  <c:v>256562</c:v>
                </c:pt>
                <c:pt idx="172">
                  <c:v>183782</c:v>
                </c:pt>
                <c:pt idx="173">
                  <c:v>154089</c:v>
                </c:pt>
                <c:pt idx="174">
                  <c:v>102190</c:v>
                </c:pt>
                <c:pt idx="175">
                  <c:v>218868</c:v>
                </c:pt>
                <c:pt idx="176">
                  <c:v>212659</c:v>
                </c:pt>
                <c:pt idx="177">
                  <c:v>101572</c:v>
                </c:pt>
                <c:pt idx="178">
                  <c:v>109004</c:v>
                </c:pt>
                <c:pt idx="179">
                  <c:v>59765</c:v>
                </c:pt>
                <c:pt idx="180">
                  <c:v>162810</c:v>
                </c:pt>
                <c:pt idx="181">
                  <c:v>213759</c:v>
                </c:pt>
                <c:pt idx="182">
                  <c:v>138272</c:v>
                </c:pt>
                <c:pt idx="183">
                  <c:v>25424</c:v>
                </c:pt>
                <c:pt idx="184">
                  <c:v>215984</c:v>
                </c:pt>
                <c:pt idx="185">
                  <c:v>109210</c:v>
                </c:pt>
                <c:pt idx="186">
                  <c:v>196903</c:v>
                </c:pt>
                <c:pt idx="187">
                  <c:v>65244</c:v>
                </c:pt>
                <c:pt idx="188">
                  <c:v>152961</c:v>
                </c:pt>
                <c:pt idx="189">
                  <c:v>231767</c:v>
                </c:pt>
                <c:pt idx="190">
                  <c:v>72713</c:v>
                </c:pt>
                <c:pt idx="191">
                  <c:v>93820</c:v>
                </c:pt>
                <c:pt idx="192">
                  <c:v>113231</c:v>
                </c:pt>
                <c:pt idx="193">
                  <c:v>219929</c:v>
                </c:pt>
                <c:pt idx="194">
                  <c:v>157462</c:v>
                </c:pt>
                <c:pt idx="195">
                  <c:v>133066</c:v>
                </c:pt>
                <c:pt idx="196">
                  <c:v>71247</c:v>
                </c:pt>
                <c:pt idx="197">
                  <c:v>205131</c:v>
                </c:pt>
                <c:pt idx="198">
                  <c:v>156560</c:v>
                </c:pt>
                <c:pt idx="199">
                  <c:v>177108</c:v>
                </c:pt>
                <c:pt idx="200">
                  <c:v>95485</c:v>
                </c:pt>
                <c:pt idx="201">
                  <c:v>56084</c:v>
                </c:pt>
                <c:pt idx="202">
                  <c:v>116116</c:v>
                </c:pt>
                <c:pt idx="203">
                  <c:v>247832</c:v>
                </c:pt>
                <c:pt idx="204">
                  <c:v>256691</c:v>
                </c:pt>
                <c:pt idx="205">
                  <c:v>144028</c:v>
                </c:pt>
                <c:pt idx="206">
                  <c:v>183854</c:v>
                </c:pt>
                <c:pt idx="207">
                  <c:v>180752</c:v>
                </c:pt>
                <c:pt idx="208">
                  <c:v>133508</c:v>
                </c:pt>
                <c:pt idx="209">
                  <c:v>132592</c:v>
                </c:pt>
                <c:pt idx="210">
                  <c:v>103578</c:v>
                </c:pt>
                <c:pt idx="211">
                  <c:v>28730</c:v>
                </c:pt>
                <c:pt idx="212">
                  <c:v>144542</c:v>
                </c:pt>
                <c:pt idx="213">
                  <c:v>218654</c:v>
                </c:pt>
                <c:pt idx="214">
                  <c:v>36885</c:v>
                </c:pt>
                <c:pt idx="215">
                  <c:v>143131</c:v>
                </c:pt>
                <c:pt idx="216">
                  <c:v>155265</c:v>
                </c:pt>
                <c:pt idx="217">
                  <c:v>258293</c:v>
                </c:pt>
                <c:pt idx="218">
                  <c:v>141861</c:v>
                </c:pt>
                <c:pt idx="219">
                  <c:v>73525</c:v>
                </c:pt>
                <c:pt idx="220">
                  <c:v>77681</c:v>
                </c:pt>
                <c:pt idx="221">
                  <c:v>171193</c:v>
                </c:pt>
                <c:pt idx="222">
                  <c:v>71246</c:v>
                </c:pt>
                <c:pt idx="223">
                  <c:v>206340</c:v>
                </c:pt>
                <c:pt idx="224">
                  <c:v>153956</c:v>
                </c:pt>
                <c:pt idx="225">
                  <c:v>205493</c:v>
                </c:pt>
                <c:pt idx="226">
                  <c:v>124842</c:v>
                </c:pt>
                <c:pt idx="227">
                  <c:v>233908</c:v>
                </c:pt>
                <c:pt idx="228">
                  <c:v>165897</c:v>
                </c:pt>
                <c:pt idx="229">
                  <c:v>146672</c:v>
                </c:pt>
                <c:pt idx="230">
                  <c:v>73138</c:v>
                </c:pt>
                <c:pt idx="231">
                  <c:v>172106</c:v>
                </c:pt>
                <c:pt idx="232">
                  <c:v>173691</c:v>
                </c:pt>
                <c:pt idx="233">
                  <c:v>211225</c:v>
                </c:pt>
                <c:pt idx="234">
                  <c:v>107925</c:v>
                </c:pt>
                <c:pt idx="235">
                  <c:v>200302</c:v>
                </c:pt>
                <c:pt idx="236">
                  <c:v>182407</c:v>
                </c:pt>
                <c:pt idx="237">
                  <c:v>103729</c:v>
                </c:pt>
                <c:pt idx="238">
                  <c:v>123660</c:v>
                </c:pt>
                <c:pt idx="239">
                  <c:v>123949</c:v>
                </c:pt>
                <c:pt idx="240">
                  <c:v>201366</c:v>
                </c:pt>
                <c:pt idx="241">
                  <c:v>208115</c:v>
                </c:pt>
                <c:pt idx="242">
                  <c:v>82166</c:v>
                </c:pt>
                <c:pt idx="243">
                  <c:v>157744</c:v>
                </c:pt>
                <c:pt idx="244">
                  <c:v>145779</c:v>
                </c:pt>
                <c:pt idx="245">
                  <c:v>138110</c:v>
                </c:pt>
                <c:pt idx="246">
                  <c:v>52868</c:v>
                </c:pt>
                <c:pt idx="247">
                  <c:v>197121</c:v>
                </c:pt>
                <c:pt idx="248">
                  <c:v>132386</c:v>
                </c:pt>
                <c:pt idx="249">
                  <c:v>168077</c:v>
                </c:pt>
                <c:pt idx="250">
                  <c:v>76735</c:v>
                </c:pt>
                <c:pt idx="251">
                  <c:v>170659</c:v>
                </c:pt>
                <c:pt idx="252">
                  <c:v>203009</c:v>
                </c:pt>
                <c:pt idx="253">
                  <c:v>150893</c:v>
                </c:pt>
                <c:pt idx="254">
                  <c:v>123363</c:v>
                </c:pt>
                <c:pt idx="255">
                  <c:v>155907</c:v>
                </c:pt>
                <c:pt idx="256">
                  <c:v>193582</c:v>
                </c:pt>
                <c:pt idx="257">
                  <c:v>171922</c:v>
                </c:pt>
                <c:pt idx="258">
                  <c:v>259925</c:v>
                </c:pt>
                <c:pt idx="259">
                  <c:v>128486</c:v>
                </c:pt>
                <c:pt idx="260">
                  <c:v>194834</c:v>
                </c:pt>
                <c:pt idx="261">
                  <c:v>76483</c:v>
                </c:pt>
                <c:pt idx="262">
                  <c:v>163133</c:v>
                </c:pt>
                <c:pt idx="263">
                  <c:v>116137</c:v>
                </c:pt>
                <c:pt idx="264">
                  <c:v>152026</c:v>
                </c:pt>
                <c:pt idx="265">
                  <c:v>152374</c:v>
                </c:pt>
                <c:pt idx="266">
                  <c:v>88667</c:v>
                </c:pt>
                <c:pt idx="267">
                  <c:v>103538</c:v>
                </c:pt>
                <c:pt idx="268">
                  <c:v>147679</c:v>
                </c:pt>
                <c:pt idx="269">
                  <c:v>156902</c:v>
                </c:pt>
                <c:pt idx="270">
                  <c:v>27793</c:v>
                </c:pt>
                <c:pt idx="271">
                  <c:v>129593</c:v>
                </c:pt>
                <c:pt idx="272">
                  <c:v>104962</c:v>
                </c:pt>
                <c:pt idx="273">
                  <c:v>163941</c:v>
                </c:pt>
                <c:pt idx="274">
                  <c:v>150516</c:v>
                </c:pt>
                <c:pt idx="275">
                  <c:v>191465</c:v>
                </c:pt>
                <c:pt idx="276">
                  <c:v>150939</c:v>
                </c:pt>
                <c:pt idx="277">
                  <c:v>120400</c:v>
                </c:pt>
                <c:pt idx="278">
                  <c:v>215011</c:v>
                </c:pt>
                <c:pt idx="279">
                  <c:v>106444</c:v>
                </c:pt>
                <c:pt idx="280">
                  <c:v>137814</c:v>
                </c:pt>
                <c:pt idx="281">
                  <c:v>202430</c:v>
                </c:pt>
                <c:pt idx="282">
                  <c:v>149542</c:v>
                </c:pt>
                <c:pt idx="283">
                  <c:v>84857</c:v>
                </c:pt>
                <c:pt idx="284">
                  <c:v>54052</c:v>
                </c:pt>
                <c:pt idx="285">
                  <c:v>114735</c:v>
                </c:pt>
                <c:pt idx="286">
                  <c:v>173190</c:v>
                </c:pt>
                <c:pt idx="287">
                  <c:v>137174</c:v>
                </c:pt>
                <c:pt idx="288">
                  <c:v>163657</c:v>
                </c:pt>
                <c:pt idx="289">
                  <c:v>148021</c:v>
                </c:pt>
                <c:pt idx="290">
                  <c:v>201725</c:v>
                </c:pt>
                <c:pt idx="291">
                  <c:v>27208</c:v>
                </c:pt>
                <c:pt idx="292">
                  <c:v>145691</c:v>
                </c:pt>
                <c:pt idx="293">
                  <c:v>194135</c:v>
                </c:pt>
                <c:pt idx="294">
                  <c:v>231014</c:v>
                </c:pt>
                <c:pt idx="295">
                  <c:v>15353</c:v>
                </c:pt>
                <c:pt idx="296">
                  <c:v>179578</c:v>
                </c:pt>
                <c:pt idx="297">
                  <c:v>107015</c:v>
                </c:pt>
                <c:pt idx="298">
                  <c:v>134769</c:v>
                </c:pt>
                <c:pt idx="299">
                  <c:v>164874</c:v>
                </c:pt>
                <c:pt idx="300">
                  <c:v>154515</c:v>
                </c:pt>
                <c:pt idx="301">
                  <c:v>197297</c:v>
                </c:pt>
                <c:pt idx="302">
                  <c:v>127335</c:v>
                </c:pt>
                <c:pt idx="303">
                  <c:v>104537</c:v>
                </c:pt>
                <c:pt idx="304">
                  <c:v>92249</c:v>
                </c:pt>
                <c:pt idx="305">
                  <c:v>253147</c:v>
                </c:pt>
                <c:pt idx="306">
                  <c:v>158050</c:v>
                </c:pt>
                <c:pt idx="307">
                  <c:v>154042</c:v>
                </c:pt>
                <c:pt idx="308">
                  <c:v>192677</c:v>
                </c:pt>
                <c:pt idx="309">
                  <c:v>85473</c:v>
                </c:pt>
                <c:pt idx="310">
                  <c:v>134619</c:v>
                </c:pt>
                <c:pt idx="311">
                  <c:v>203321</c:v>
                </c:pt>
                <c:pt idx="312">
                  <c:v>188229</c:v>
                </c:pt>
                <c:pt idx="313">
                  <c:v>129070</c:v>
                </c:pt>
                <c:pt idx="314">
                  <c:v>67393</c:v>
                </c:pt>
                <c:pt idx="315">
                  <c:v>233004</c:v>
                </c:pt>
                <c:pt idx="316">
                  <c:v>143001</c:v>
                </c:pt>
                <c:pt idx="317">
                  <c:v>85349</c:v>
                </c:pt>
                <c:pt idx="318">
                  <c:v>154919</c:v>
                </c:pt>
                <c:pt idx="319">
                  <c:v>149658</c:v>
                </c:pt>
                <c:pt idx="320">
                  <c:v>158743</c:v>
                </c:pt>
                <c:pt idx="321">
                  <c:v>137157</c:v>
                </c:pt>
                <c:pt idx="322">
                  <c:v>98919</c:v>
                </c:pt>
                <c:pt idx="323">
                  <c:v>95094</c:v>
                </c:pt>
                <c:pt idx="324">
                  <c:v>113625</c:v>
                </c:pt>
                <c:pt idx="325">
                  <c:v>179305</c:v>
                </c:pt>
                <c:pt idx="326">
                  <c:v>228105</c:v>
                </c:pt>
                <c:pt idx="327">
                  <c:v>182783</c:v>
                </c:pt>
                <c:pt idx="328">
                  <c:v>214462</c:v>
                </c:pt>
                <c:pt idx="329">
                  <c:v>197008</c:v>
                </c:pt>
                <c:pt idx="330">
                  <c:v>116472</c:v>
                </c:pt>
                <c:pt idx="331">
                  <c:v>114496</c:v>
                </c:pt>
                <c:pt idx="332">
                  <c:v>100040</c:v>
                </c:pt>
                <c:pt idx="333">
                  <c:v>226046</c:v>
                </c:pt>
                <c:pt idx="334">
                  <c:v>155711</c:v>
                </c:pt>
                <c:pt idx="335">
                  <c:v>148453</c:v>
                </c:pt>
                <c:pt idx="336">
                  <c:v>205707</c:v>
                </c:pt>
                <c:pt idx="337">
                  <c:v>196428</c:v>
                </c:pt>
                <c:pt idx="338">
                  <c:v>108632</c:v>
                </c:pt>
                <c:pt idx="339">
                  <c:v>77849</c:v>
                </c:pt>
                <c:pt idx="340">
                  <c:v>243949</c:v>
                </c:pt>
                <c:pt idx="341">
                  <c:v>147849</c:v>
                </c:pt>
                <c:pt idx="342">
                  <c:v>90106</c:v>
                </c:pt>
                <c:pt idx="343">
                  <c:v>172904</c:v>
                </c:pt>
                <c:pt idx="344">
                  <c:v>192858</c:v>
                </c:pt>
                <c:pt idx="345">
                  <c:v>121744</c:v>
                </c:pt>
                <c:pt idx="346">
                  <c:v>151334</c:v>
                </c:pt>
                <c:pt idx="347">
                  <c:v>191218</c:v>
                </c:pt>
                <c:pt idx="348">
                  <c:v>174553</c:v>
                </c:pt>
                <c:pt idx="349">
                  <c:v>181516</c:v>
                </c:pt>
                <c:pt idx="350">
                  <c:v>123894</c:v>
                </c:pt>
                <c:pt idx="351">
                  <c:v>130506</c:v>
                </c:pt>
                <c:pt idx="352">
                  <c:v>39752</c:v>
                </c:pt>
                <c:pt idx="353">
                  <c:v>158854</c:v>
                </c:pt>
                <c:pt idx="354">
                  <c:v>147065</c:v>
                </c:pt>
                <c:pt idx="355">
                  <c:v>123445</c:v>
                </c:pt>
                <c:pt idx="356">
                  <c:v>101099</c:v>
                </c:pt>
                <c:pt idx="357">
                  <c:v>146438</c:v>
                </c:pt>
                <c:pt idx="358">
                  <c:v>105323</c:v>
                </c:pt>
                <c:pt idx="359">
                  <c:v>137249</c:v>
                </c:pt>
                <c:pt idx="360">
                  <c:v>162413</c:v>
                </c:pt>
                <c:pt idx="361">
                  <c:v>243747</c:v>
                </c:pt>
                <c:pt idx="362">
                  <c:v>106589</c:v>
                </c:pt>
                <c:pt idx="363">
                  <c:v>100073</c:v>
                </c:pt>
                <c:pt idx="364">
                  <c:v>217987</c:v>
                </c:pt>
                <c:pt idx="365">
                  <c:v>190621</c:v>
                </c:pt>
                <c:pt idx="366">
                  <c:v>155516</c:v>
                </c:pt>
                <c:pt idx="367">
                  <c:v>176738</c:v>
                </c:pt>
                <c:pt idx="368">
                  <c:v>111880</c:v>
                </c:pt>
                <c:pt idx="369">
                  <c:v>216110</c:v>
                </c:pt>
                <c:pt idx="370">
                  <c:v>88259</c:v>
                </c:pt>
                <c:pt idx="371">
                  <c:v>139142</c:v>
                </c:pt>
                <c:pt idx="372">
                  <c:v>87432</c:v>
                </c:pt>
                <c:pt idx="373">
                  <c:v>94379</c:v>
                </c:pt>
                <c:pt idx="374">
                  <c:v>139983</c:v>
                </c:pt>
                <c:pt idx="375">
                  <c:v>166768</c:v>
                </c:pt>
                <c:pt idx="376">
                  <c:v>78429</c:v>
                </c:pt>
                <c:pt idx="377">
                  <c:v>149304</c:v>
                </c:pt>
                <c:pt idx="378">
                  <c:v>198861</c:v>
                </c:pt>
                <c:pt idx="379">
                  <c:v>88295</c:v>
                </c:pt>
                <c:pt idx="380">
                  <c:v>96162</c:v>
                </c:pt>
                <c:pt idx="381">
                  <c:v>65650</c:v>
                </c:pt>
                <c:pt idx="382">
                  <c:v>181781</c:v>
                </c:pt>
                <c:pt idx="383">
                  <c:v>212985</c:v>
                </c:pt>
                <c:pt idx="384">
                  <c:v>120159</c:v>
                </c:pt>
                <c:pt idx="385">
                  <c:v>121208</c:v>
                </c:pt>
                <c:pt idx="386">
                  <c:v>153496</c:v>
                </c:pt>
                <c:pt idx="387">
                  <c:v>181346</c:v>
                </c:pt>
                <c:pt idx="388">
                  <c:v>121102</c:v>
                </c:pt>
                <c:pt idx="389">
                  <c:v>28717</c:v>
                </c:pt>
                <c:pt idx="390">
                  <c:v>244750</c:v>
                </c:pt>
                <c:pt idx="391">
                  <c:v>155233</c:v>
                </c:pt>
                <c:pt idx="392">
                  <c:v>242622</c:v>
                </c:pt>
                <c:pt idx="393">
                  <c:v>103464</c:v>
                </c:pt>
                <c:pt idx="394">
                  <c:v>179250</c:v>
                </c:pt>
                <c:pt idx="395">
                  <c:v>246262</c:v>
                </c:pt>
                <c:pt idx="396">
                  <c:v>159631</c:v>
                </c:pt>
                <c:pt idx="397">
                  <c:v>225552</c:v>
                </c:pt>
                <c:pt idx="398">
                  <c:v>117742</c:v>
                </c:pt>
                <c:pt idx="399">
                  <c:v>139759</c:v>
                </c:pt>
                <c:pt idx="400">
                  <c:v>210471</c:v>
                </c:pt>
                <c:pt idx="401">
                  <c:v>137273</c:v>
                </c:pt>
                <c:pt idx="402">
                  <c:v>191905</c:v>
                </c:pt>
                <c:pt idx="403">
                  <c:v>130651</c:v>
                </c:pt>
                <c:pt idx="404">
                  <c:v>58886</c:v>
                </c:pt>
                <c:pt idx="405">
                  <c:v>58960</c:v>
                </c:pt>
                <c:pt idx="406">
                  <c:v>44986</c:v>
                </c:pt>
                <c:pt idx="407">
                  <c:v>159005</c:v>
                </c:pt>
                <c:pt idx="408">
                  <c:v>103451</c:v>
                </c:pt>
                <c:pt idx="409">
                  <c:v>193727</c:v>
                </c:pt>
                <c:pt idx="410">
                  <c:v>83075</c:v>
                </c:pt>
                <c:pt idx="411">
                  <c:v>161405</c:v>
                </c:pt>
                <c:pt idx="412">
                  <c:v>156686</c:v>
                </c:pt>
                <c:pt idx="413">
                  <c:v>16076</c:v>
                </c:pt>
                <c:pt idx="414">
                  <c:v>187448</c:v>
                </c:pt>
                <c:pt idx="415">
                  <c:v>152486</c:v>
                </c:pt>
                <c:pt idx="416">
                  <c:v>196838</c:v>
                </c:pt>
                <c:pt idx="417">
                  <c:v>184886</c:v>
                </c:pt>
                <c:pt idx="418">
                  <c:v>191841</c:v>
                </c:pt>
                <c:pt idx="419">
                  <c:v>240238</c:v>
                </c:pt>
                <c:pt idx="420">
                  <c:v>233039</c:v>
                </c:pt>
                <c:pt idx="421">
                  <c:v>88898</c:v>
                </c:pt>
                <c:pt idx="422">
                  <c:v>143142</c:v>
                </c:pt>
                <c:pt idx="423">
                  <c:v>79844</c:v>
                </c:pt>
                <c:pt idx="424">
                  <c:v>100366</c:v>
                </c:pt>
                <c:pt idx="425">
                  <c:v>203444</c:v>
                </c:pt>
                <c:pt idx="426">
                  <c:v>133215</c:v>
                </c:pt>
                <c:pt idx="427">
                  <c:v>235692</c:v>
                </c:pt>
                <c:pt idx="428">
                  <c:v>240053</c:v>
                </c:pt>
                <c:pt idx="429">
                  <c:v>55726</c:v>
                </c:pt>
                <c:pt idx="430">
                  <c:v>189806</c:v>
                </c:pt>
                <c:pt idx="431">
                  <c:v>129081</c:v>
                </c:pt>
                <c:pt idx="432">
                  <c:v>119336</c:v>
                </c:pt>
                <c:pt idx="433">
                  <c:v>253246</c:v>
                </c:pt>
                <c:pt idx="434">
                  <c:v>134073</c:v>
                </c:pt>
                <c:pt idx="435">
                  <c:v>166815</c:v>
                </c:pt>
                <c:pt idx="436">
                  <c:v>262804</c:v>
                </c:pt>
                <c:pt idx="437">
                  <c:v>128556</c:v>
                </c:pt>
                <c:pt idx="438">
                  <c:v>127921</c:v>
                </c:pt>
                <c:pt idx="439">
                  <c:v>186324</c:v>
                </c:pt>
                <c:pt idx="440">
                  <c:v>223767</c:v>
                </c:pt>
                <c:pt idx="441">
                  <c:v>85093</c:v>
                </c:pt>
                <c:pt idx="442">
                  <c:v>85205</c:v>
                </c:pt>
                <c:pt idx="443">
                  <c:v>186117</c:v>
                </c:pt>
                <c:pt idx="444">
                  <c:v>181306</c:v>
                </c:pt>
                <c:pt idx="445">
                  <c:v>166926</c:v>
                </c:pt>
                <c:pt idx="446">
                  <c:v>243038</c:v>
                </c:pt>
                <c:pt idx="447">
                  <c:v>203988</c:v>
                </c:pt>
                <c:pt idx="448">
                  <c:v>146179</c:v>
                </c:pt>
                <c:pt idx="449">
                  <c:v>139176</c:v>
                </c:pt>
                <c:pt idx="450">
                  <c:v>199571</c:v>
                </c:pt>
                <c:pt idx="451">
                  <c:v>135030</c:v>
                </c:pt>
                <c:pt idx="452">
                  <c:v>80887</c:v>
                </c:pt>
                <c:pt idx="453">
                  <c:v>98015</c:v>
                </c:pt>
                <c:pt idx="454">
                  <c:v>98597</c:v>
                </c:pt>
                <c:pt idx="455">
                  <c:v>114186</c:v>
                </c:pt>
                <c:pt idx="456">
                  <c:v>152502</c:v>
                </c:pt>
                <c:pt idx="457">
                  <c:v>213676</c:v>
                </c:pt>
                <c:pt idx="458">
                  <c:v>105042</c:v>
                </c:pt>
                <c:pt idx="459">
                  <c:v>135343</c:v>
                </c:pt>
                <c:pt idx="460">
                  <c:v>128055</c:v>
                </c:pt>
                <c:pt idx="461">
                  <c:v>62306</c:v>
                </c:pt>
                <c:pt idx="462">
                  <c:v>219017</c:v>
                </c:pt>
                <c:pt idx="463">
                  <c:v>170662</c:v>
                </c:pt>
                <c:pt idx="464">
                  <c:v>125615</c:v>
                </c:pt>
                <c:pt idx="465">
                  <c:v>179580</c:v>
                </c:pt>
                <c:pt idx="466">
                  <c:v>121693</c:v>
                </c:pt>
                <c:pt idx="467">
                  <c:v>119375</c:v>
                </c:pt>
                <c:pt idx="468">
                  <c:v>236580</c:v>
                </c:pt>
                <c:pt idx="469">
                  <c:v>241375</c:v>
                </c:pt>
                <c:pt idx="470">
                  <c:v>169972</c:v>
                </c:pt>
                <c:pt idx="471">
                  <c:v>97357</c:v>
                </c:pt>
                <c:pt idx="472">
                  <c:v>34714</c:v>
                </c:pt>
                <c:pt idx="473">
                  <c:v>188620</c:v>
                </c:pt>
                <c:pt idx="474">
                  <c:v>213971</c:v>
                </c:pt>
                <c:pt idx="475">
                  <c:v>217695</c:v>
                </c:pt>
                <c:pt idx="476">
                  <c:v>229546</c:v>
                </c:pt>
                <c:pt idx="477">
                  <c:v>173217</c:v>
                </c:pt>
                <c:pt idx="478">
                  <c:v>174006</c:v>
                </c:pt>
                <c:pt idx="479">
                  <c:v>146176</c:v>
                </c:pt>
                <c:pt idx="480">
                  <c:v>178701</c:v>
                </c:pt>
                <c:pt idx="481">
                  <c:v>168145</c:v>
                </c:pt>
                <c:pt idx="482">
                  <c:v>144013</c:v>
                </c:pt>
                <c:pt idx="483">
                  <c:v>92484</c:v>
                </c:pt>
                <c:pt idx="484">
                  <c:v>255351</c:v>
                </c:pt>
                <c:pt idx="485">
                  <c:v>187467</c:v>
                </c:pt>
                <c:pt idx="486">
                  <c:v>169836</c:v>
                </c:pt>
                <c:pt idx="487">
                  <c:v>192339</c:v>
                </c:pt>
                <c:pt idx="488">
                  <c:v>69579</c:v>
                </c:pt>
                <c:pt idx="489">
                  <c:v>147556</c:v>
                </c:pt>
                <c:pt idx="490">
                  <c:v>59865</c:v>
                </c:pt>
                <c:pt idx="491">
                  <c:v>124109</c:v>
                </c:pt>
                <c:pt idx="492">
                  <c:v>190257</c:v>
                </c:pt>
                <c:pt idx="493">
                  <c:v>91593</c:v>
                </c:pt>
                <c:pt idx="494">
                  <c:v>92752</c:v>
                </c:pt>
                <c:pt idx="495">
                  <c:v>84555</c:v>
                </c:pt>
                <c:pt idx="496">
                  <c:v>68680</c:v>
                </c:pt>
                <c:pt idx="497">
                  <c:v>269669</c:v>
                </c:pt>
                <c:pt idx="498">
                  <c:v>255520</c:v>
                </c:pt>
                <c:pt idx="499">
                  <c:v>162287</c:v>
                </c:pt>
              </c:numCache>
            </c:numRef>
          </c:xVal>
          <c:yVal>
            <c:numRef>
              <c:f>Powerquery!$D$2:$D$501</c:f>
              <c:numCache>
                <c:formatCode>General</c:formatCode>
                <c:ptCount val="500"/>
                <c:pt idx="0">
                  <c:v>75203</c:v>
                </c:pt>
                <c:pt idx="1">
                  <c:v>157836</c:v>
                </c:pt>
                <c:pt idx="2">
                  <c:v>-15936</c:v>
                </c:pt>
                <c:pt idx="3">
                  <c:v>147886</c:v>
                </c:pt>
                <c:pt idx="4">
                  <c:v>85501</c:v>
                </c:pt>
                <c:pt idx="5">
                  <c:v>-50414</c:v>
                </c:pt>
                <c:pt idx="6">
                  <c:v>121061</c:v>
                </c:pt>
                <c:pt idx="7">
                  <c:v>-3864</c:v>
                </c:pt>
                <c:pt idx="8">
                  <c:v>20596</c:v>
                </c:pt>
                <c:pt idx="9">
                  <c:v>35214</c:v>
                </c:pt>
                <c:pt idx="10">
                  <c:v>136585</c:v>
                </c:pt>
                <c:pt idx="11">
                  <c:v>49844</c:v>
                </c:pt>
                <c:pt idx="12">
                  <c:v>-28866</c:v>
                </c:pt>
                <c:pt idx="13">
                  <c:v>111507</c:v>
                </c:pt>
                <c:pt idx="14">
                  <c:v>96711</c:v>
                </c:pt>
                <c:pt idx="15">
                  <c:v>202185</c:v>
                </c:pt>
                <c:pt idx="16">
                  <c:v>246411</c:v>
                </c:pt>
                <c:pt idx="17">
                  <c:v>110545</c:v>
                </c:pt>
                <c:pt idx="18">
                  <c:v>64865</c:v>
                </c:pt>
                <c:pt idx="19">
                  <c:v>-44456</c:v>
                </c:pt>
                <c:pt idx="20">
                  <c:v>33112</c:v>
                </c:pt>
                <c:pt idx="21">
                  <c:v>34192</c:v>
                </c:pt>
                <c:pt idx="22">
                  <c:v>66636</c:v>
                </c:pt>
                <c:pt idx="23">
                  <c:v>63885</c:v>
                </c:pt>
                <c:pt idx="24">
                  <c:v>98225</c:v>
                </c:pt>
                <c:pt idx="25">
                  <c:v>122343</c:v>
                </c:pt>
                <c:pt idx="26">
                  <c:v>93271</c:v>
                </c:pt>
                <c:pt idx="27">
                  <c:v>139403</c:v>
                </c:pt>
                <c:pt idx="28">
                  <c:v>157299</c:v>
                </c:pt>
                <c:pt idx="29">
                  <c:v>-42542</c:v>
                </c:pt>
                <c:pt idx="30">
                  <c:v>3984</c:v>
                </c:pt>
                <c:pt idx="31">
                  <c:v>170280</c:v>
                </c:pt>
                <c:pt idx="32">
                  <c:v>71512</c:v>
                </c:pt>
                <c:pt idx="33">
                  <c:v>211463</c:v>
                </c:pt>
                <c:pt idx="34">
                  <c:v>24817</c:v>
                </c:pt>
                <c:pt idx="35">
                  <c:v>70935</c:v>
                </c:pt>
                <c:pt idx="36">
                  <c:v>108282</c:v>
                </c:pt>
                <c:pt idx="37">
                  <c:v>124848</c:v>
                </c:pt>
                <c:pt idx="38">
                  <c:v>74515</c:v>
                </c:pt>
                <c:pt idx="39">
                  <c:v>147564</c:v>
                </c:pt>
                <c:pt idx="40">
                  <c:v>100480</c:v>
                </c:pt>
                <c:pt idx="41">
                  <c:v>64778</c:v>
                </c:pt>
                <c:pt idx="42">
                  <c:v>60228</c:v>
                </c:pt>
                <c:pt idx="43">
                  <c:v>66560</c:v>
                </c:pt>
                <c:pt idx="44">
                  <c:v>89671</c:v>
                </c:pt>
                <c:pt idx="45">
                  <c:v>107683</c:v>
                </c:pt>
                <c:pt idx="46">
                  <c:v>46709</c:v>
                </c:pt>
                <c:pt idx="47">
                  <c:v>70640</c:v>
                </c:pt>
                <c:pt idx="48">
                  <c:v>49281</c:v>
                </c:pt>
                <c:pt idx="49">
                  <c:v>82373</c:v>
                </c:pt>
                <c:pt idx="50">
                  <c:v>2345</c:v>
                </c:pt>
                <c:pt idx="51">
                  <c:v>40571</c:v>
                </c:pt>
                <c:pt idx="52">
                  <c:v>116367</c:v>
                </c:pt>
                <c:pt idx="53">
                  <c:v>112839</c:v>
                </c:pt>
                <c:pt idx="54">
                  <c:v>86291</c:v>
                </c:pt>
                <c:pt idx="55">
                  <c:v>111270</c:v>
                </c:pt>
                <c:pt idx="56">
                  <c:v>190256</c:v>
                </c:pt>
                <c:pt idx="57">
                  <c:v>188550</c:v>
                </c:pt>
                <c:pt idx="58">
                  <c:v>72726</c:v>
                </c:pt>
                <c:pt idx="59">
                  <c:v>105242</c:v>
                </c:pt>
                <c:pt idx="60">
                  <c:v>32174</c:v>
                </c:pt>
                <c:pt idx="61">
                  <c:v>85678</c:v>
                </c:pt>
                <c:pt idx="62">
                  <c:v>-25595</c:v>
                </c:pt>
                <c:pt idx="63">
                  <c:v>89188</c:v>
                </c:pt>
                <c:pt idx="64">
                  <c:v>123433</c:v>
                </c:pt>
                <c:pt idx="65">
                  <c:v>164964</c:v>
                </c:pt>
                <c:pt idx="66">
                  <c:v>106658</c:v>
                </c:pt>
                <c:pt idx="67">
                  <c:v>187309</c:v>
                </c:pt>
                <c:pt idx="68">
                  <c:v>2622</c:v>
                </c:pt>
                <c:pt idx="69">
                  <c:v>35314</c:v>
                </c:pt>
                <c:pt idx="70">
                  <c:v>41541</c:v>
                </c:pt>
                <c:pt idx="71">
                  <c:v>77723</c:v>
                </c:pt>
                <c:pt idx="72">
                  <c:v>132770</c:v>
                </c:pt>
                <c:pt idx="73">
                  <c:v>39101</c:v>
                </c:pt>
                <c:pt idx="74">
                  <c:v>84817</c:v>
                </c:pt>
                <c:pt idx="75">
                  <c:v>163607</c:v>
                </c:pt>
                <c:pt idx="76">
                  <c:v>118046</c:v>
                </c:pt>
                <c:pt idx="77">
                  <c:v>100432</c:v>
                </c:pt>
                <c:pt idx="78">
                  <c:v>21254</c:v>
                </c:pt>
                <c:pt idx="79">
                  <c:v>8039</c:v>
                </c:pt>
                <c:pt idx="80">
                  <c:v>210956</c:v>
                </c:pt>
                <c:pt idx="81">
                  <c:v>178229</c:v>
                </c:pt>
                <c:pt idx="82">
                  <c:v>136578</c:v>
                </c:pt>
                <c:pt idx="83">
                  <c:v>-5227</c:v>
                </c:pt>
                <c:pt idx="84">
                  <c:v>50576</c:v>
                </c:pt>
                <c:pt idx="85">
                  <c:v>90464</c:v>
                </c:pt>
                <c:pt idx="86">
                  <c:v>55318</c:v>
                </c:pt>
                <c:pt idx="87">
                  <c:v>161787</c:v>
                </c:pt>
                <c:pt idx="88">
                  <c:v>82642</c:v>
                </c:pt>
                <c:pt idx="89">
                  <c:v>39193</c:v>
                </c:pt>
                <c:pt idx="90">
                  <c:v>103379</c:v>
                </c:pt>
                <c:pt idx="91">
                  <c:v>135578</c:v>
                </c:pt>
                <c:pt idx="92">
                  <c:v>25224</c:v>
                </c:pt>
                <c:pt idx="93">
                  <c:v>7797</c:v>
                </c:pt>
                <c:pt idx="94">
                  <c:v>169069</c:v>
                </c:pt>
                <c:pt idx="95">
                  <c:v>75080</c:v>
                </c:pt>
                <c:pt idx="96">
                  <c:v>137080</c:v>
                </c:pt>
                <c:pt idx="97">
                  <c:v>112478</c:v>
                </c:pt>
                <c:pt idx="98">
                  <c:v>30420</c:v>
                </c:pt>
                <c:pt idx="99">
                  <c:v>88865</c:v>
                </c:pt>
                <c:pt idx="100">
                  <c:v>15456</c:v>
                </c:pt>
                <c:pt idx="101">
                  <c:v>55290</c:v>
                </c:pt>
                <c:pt idx="102">
                  <c:v>96000</c:v>
                </c:pt>
                <c:pt idx="103">
                  <c:v>96534</c:v>
                </c:pt>
                <c:pt idx="104">
                  <c:v>83793</c:v>
                </c:pt>
                <c:pt idx="105">
                  <c:v>5304</c:v>
                </c:pt>
                <c:pt idx="106">
                  <c:v>177947</c:v>
                </c:pt>
                <c:pt idx="107">
                  <c:v>-31739</c:v>
                </c:pt>
                <c:pt idx="108">
                  <c:v>29264</c:v>
                </c:pt>
                <c:pt idx="109">
                  <c:v>82633</c:v>
                </c:pt>
                <c:pt idx="110">
                  <c:v>146637</c:v>
                </c:pt>
                <c:pt idx="111">
                  <c:v>51176</c:v>
                </c:pt>
                <c:pt idx="112">
                  <c:v>177629</c:v>
                </c:pt>
                <c:pt idx="113">
                  <c:v>33537</c:v>
                </c:pt>
                <c:pt idx="114">
                  <c:v>111268</c:v>
                </c:pt>
                <c:pt idx="115">
                  <c:v>117942</c:v>
                </c:pt>
                <c:pt idx="116">
                  <c:v>229496</c:v>
                </c:pt>
                <c:pt idx="117">
                  <c:v>144603</c:v>
                </c:pt>
                <c:pt idx="118">
                  <c:v>122617</c:v>
                </c:pt>
                <c:pt idx="119">
                  <c:v>93814</c:v>
                </c:pt>
                <c:pt idx="120">
                  <c:v>58531</c:v>
                </c:pt>
                <c:pt idx="121">
                  <c:v>224694</c:v>
                </c:pt>
                <c:pt idx="122">
                  <c:v>165416</c:v>
                </c:pt>
                <c:pt idx="123">
                  <c:v>61934</c:v>
                </c:pt>
                <c:pt idx="124">
                  <c:v>215550</c:v>
                </c:pt>
                <c:pt idx="125">
                  <c:v>73049</c:v>
                </c:pt>
                <c:pt idx="126">
                  <c:v>140894</c:v>
                </c:pt>
                <c:pt idx="127">
                  <c:v>-9363</c:v>
                </c:pt>
                <c:pt idx="128">
                  <c:v>218240</c:v>
                </c:pt>
                <c:pt idx="129">
                  <c:v>147959</c:v>
                </c:pt>
                <c:pt idx="130">
                  <c:v>96375</c:v>
                </c:pt>
                <c:pt idx="131">
                  <c:v>116374</c:v>
                </c:pt>
                <c:pt idx="132">
                  <c:v>146410</c:v>
                </c:pt>
                <c:pt idx="133">
                  <c:v>74855</c:v>
                </c:pt>
                <c:pt idx="134">
                  <c:v>119488</c:v>
                </c:pt>
                <c:pt idx="135">
                  <c:v>246243</c:v>
                </c:pt>
                <c:pt idx="136">
                  <c:v>157117</c:v>
                </c:pt>
                <c:pt idx="137">
                  <c:v>10173</c:v>
                </c:pt>
                <c:pt idx="138">
                  <c:v>123568</c:v>
                </c:pt>
                <c:pt idx="139">
                  <c:v>30241</c:v>
                </c:pt>
                <c:pt idx="140">
                  <c:v>115918</c:v>
                </c:pt>
                <c:pt idx="141">
                  <c:v>157252</c:v>
                </c:pt>
                <c:pt idx="142">
                  <c:v>162830</c:v>
                </c:pt>
                <c:pt idx="143">
                  <c:v>119533</c:v>
                </c:pt>
                <c:pt idx="144">
                  <c:v>24826</c:v>
                </c:pt>
                <c:pt idx="145">
                  <c:v>18171</c:v>
                </c:pt>
                <c:pt idx="146">
                  <c:v>92043</c:v>
                </c:pt>
                <c:pt idx="147">
                  <c:v>90133</c:v>
                </c:pt>
                <c:pt idx="148">
                  <c:v>148042</c:v>
                </c:pt>
                <c:pt idx="149">
                  <c:v>127484</c:v>
                </c:pt>
                <c:pt idx="150">
                  <c:v>44458</c:v>
                </c:pt>
                <c:pt idx="151">
                  <c:v>24814</c:v>
                </c:pt>
                <c:pt idx="152">
                  <c:v>39293</c:v>
                </c:pt>
                <c:pt idx="153">
                  <c:v>132794</c:v>
                </c:pt>
                <c:pt idx="154">
                  <c:v>125615</c:v>
                </c:pt>
                <c:pt idx="155">
                  <c:v>86407</c:v>
                </c:pt>
                <c:pt idx="156">
                  <c:v>159969</c:v>
                </c:pt>
                <c:pt idx="157">
                  <c:v>77181</c:v>
                </c:pt>
                <c:pt idx="158">
                  <c:v>178998</c:v>
                </c:pt>
                <c:pt idx="159">
                  <c:v>30130</c:v>
                </c:pt>
                <c:pt idx="160">
                  <c:v>104261</c:v>
                </c:pt>
                <c:pt idx="161">
                  <c:v>105696</c:v>
                </c:pt>
                <c:pt idx="162">
                  <c:v>-24909</c:v>
                </c:pt>
                <c:pt idx="163">
                  <c:v>174804</c:v>
                </c:pt>
                <c:pt idx="164">
                  <c:v>80133</c:v>
                </c:pt>
                <c:pt idx="165">
                  <c:v>149711</c:v>
                </c:pt>
                <c:pt idx="166">
                  <c:v>120885</c:v>
                </c:pt>
                <c:pt idx="167">
                  <c:v>52557</c:v>
                </c:pt>
                <c:pt idx="168">
                  <c:v>80985</c:v>
                </c:pt>
                <c:pt idx="169">
                  <c:v>173154</c:v>
                </c:pt>
                <c:pt idx="170">
                  <c:v>54215</c:v>
                </c:pt>
                <c:pt idx="171">
                  <c:v>212189</c:v>
                </c:pt>
                <c:pt idx="172">
                  <c:v>149532</c:v>
                </c:pt>
                <c:pt idx="173">
                  <c:v>66734</c:v>
                </c:pt>
                <c:pt idx="174">
                  <c:v>12712</c:v>
                </c:pt>
                <c:pt idx="175">
                  <c:v>158448</c:v>
                </c:pt>
                <c:pt idx="176">
                  <c:v>159755</c:v>
                </c:pt>
                <c:pt idx="177">
                  <c:v>62218</c:v>
                </c:pt>
                <c:pt idx="178">
                  <c:v>24378</c:v>
                </c:pt>
                <c:pt idx="179">
                  <c:v>43424</c:v>
                </c:pt>
                <c:pt idx="180">
                  <c:v>146060</c:v>
                </c:pt>
                <c:pt idx="181">
                  <c:v>121305</c:v>
                </c:pt>
                <c:pt idx="182">
                  <c:v>111090</c:v>
                </c:pt>
                <c:pt idx="183">
                  <c:v>-70135</c:v>
                </c:pt>
                <c:pt idx="184">
                  <c:v>149413</c:v>
                </c:pt>
                <c:pt idx="185">
                  <c:v>37078</c:v>
                </c:pt>
                <c:pt idx="186">
                  <c:v>103716</c:v>
                </c:pt>
                <c:pt idx="187">
                  <c:v>42680</c:v>
                </c:pt>
                <c:pt idx="188">
                  <c:v>108531</c:v>
                </c:pt>
                <c:pt idx="189">
                  <c:v>176793</c:v>
                </c:pt>
                <c:pt idx="190">
                  <c:v>24674</c:v>
                </c:pt>
                <c:pt idx="191">
                  <c:v>68004</c:v>
                </c:pt>
                <c:pt idx="192">
                  <c:v>65318</c:v>
                </c:pt>
                <c:pt idx="193">
                  <c:v>159901</c:v>
                </c:pt>
                <c:pt idx="194">
                  <c:v>107826</c:v>
                </c:pt>
                <c:pt idx="195">
                  <c:v>61087</c:v>
                </c:pt>
                <c:pt idx="196">
                  <c:v>-20882</c:v>
                </c:pt>
                <c:pt idx="197">
                  <c:v>175932</c:v>
                </c:pt>
                <c:pt idx="198">
                  <c:v>79077</c:v>
                </c:pt>
                <c:pt idx="199">
                  <c:v>154202</c:v>
                </c:pt>
                <c:pt idx="200">
                  <c:v>-2815</c:v>
                </c:pt>
                <c:pt idx="201">
                  <c:v>15153</c:v>
                </c:pt>
                <c:pt idx="202">
                  <c:v>19995</c:v>
                </c:pt>
                <c:pt idx="203">
                  <c:v>222929</c:v>
                </c:pt>
                <c:pt idx="204">
                  <c:v>222562</c:v>
                </c:pt>
                <c:pt idx="205">
                  <c:v>61353</c:v>
                </c:pt>
                <c:pt idx="206">
                  <c:v>142562</c:v>
                </c:pt>
                <c:pt idx="207">
                  <c:v>143218</c:v>
                </c:pt>
                <c:pt idx="208">
                  <c:v>70870</c:v>
                </c:pt>
                <c:pt idx="209">
                  <c:v>59660</c:v>
                </c:pt>
                <c:pt idx="210">
                  <c:v>56612</c:v>
                </c:pt>
                <c:pt idx="211">
                  <c:v>-57251</c:v>
                </c:pt>
                <c:pt idx="212">
                  <c:v>102882</c:v>
                </c:pt>
                <c:pt idx="213">
                  <c:v>123259</c:v>
                </c:pt>
                <c:pt idx="214">
                  <c:v>-15682</c:v>
                </c:pt>
                <c:pt idx="215">
                  <c:v>70759</c:v>
                </c:pt>
                <c:pt idx="216">
                  <c:v>95696</c:v>
                </c:pt>
                <c:pt idx="217">
                  <c:v>236753</c:v>
                </c:pt>
                <c:pt idx="218">
                  <c:v>75886</c:v>
                </c:pt>
                <c:pt idx="219">
                  <c:v>24769</c:v>
                </c:pt>
                <c:pt idx="220">
                  <c:v>57055</c:v>
                </c:pt>
                <c:pt idx="221">
                  <c:v>71217</c:v>
                </c:pt>
                <c:pt idx="222">
                  <c:v>37607</c:v>
                </c:pt>
                <c:pt idx="223">
                  <c:v>122424</c:v>
                </c:pt>
                <c:pt idx="224">
                  <c:v>77168</c:v>
                </c:pt>
                <c:pt idx="225">
                  <c:v>138395</c:v>
                </c:pt>
                <c:pt idx="226">
                  <c:v>30759</c:v>
                </c:pt>
                <c:pt idx="227">
                  <c:v>164293</c:v>
                </c:pt>
                <c:pt idx="228">
                  <c:v>121888</c:v>
                </c:pt>
                <c:pt idx="229">
                  <c:v>109868</c:v>
                </c:pt>
                <c:pt idx="230">
                  <c:v>-11160</c:v>
                </c:pt>
                <c:pt idx="231">
                  <c:v>82787</c:v>
                </c:pt>
                <c:pt idx="232">
                  <c:v>95208</c:v>
                </c:pt>
                <c:pt idx="233">
                  <c:v>139240</c:v>
                </c:pt>
                <c:pt idx="234">
                  <c:v>83847</c:v>
                </c:pt>
                <c:pt idx="235">
                  <c:v>120421</c:v>
                </c:pt>
                <c:pt idx="236">
                  <c:v>105857</c:v>
                </c:pt>
                <c:pt idx="237">
                  <c:v>60768</c:v>
                </c:pt>
                <c:pt idx="238">
                  <c:v>71783</c:v>
                </c:pt>
                <c:pt idx="239">
                  <c:v>29801</c:v>
                </c:pt>
                <c:pt idx="240">
                  <c:v>102519</c:v>
                </c:pt>
                <c:pt idx="241">
                  <c:v>177033</c:v>
                </c:pt>
                <c:pt idx="242">
                  <c:v>58220</c:v>
                </c:pt>
                <c:pt idx="243">
                  <c:v>83423</c:v>
                </c:pt>
                <c:pt idx="244">
                  <c:v>91716</c:v>
                </c:pt>
                <c:pt idx="245">
                  <c:v>91525</c:v>
                </c:pt>
                <c:pt idx="246">
                  <c:v>8442</c:v>
                </c:pt>
                <c:pt idx="247">
                  <c:v>97243</c:v>
                </c:pt>
                <c:pt idx="248">
                  <c:v>90470</c:v>
                </c:pt>
                <c:pt idx="249">
                  <c:v>83727</c:v>
                </c:pt>
                <c:pt idx="250">
                  <c:v>39808</c:v>
                </c:pt>
                <c:pt idx="251">
                  <c:v>122262</c:v>
                </c:pt>
                <c:pt idx="252">
                  <c:v>181733</c:v>
                </c:pt>
                <c:pt idx="253">
                  <c:v>84007</c:v>
                </c:pt>
                <c:pt idx="254">
                  <c:v>25053</c:v>
                </c:pt>
                <c:pt idx="255">
                  <c:v>74403</c:v>
                </c:pt>
                <c:pt idx="256">
                  <c:v>169382</c:v>
                </c:pt>
                <c:pt idx="257">
                  <c:v>95710</c:v>
                </c:pt>
                <c:pt idx="258">
                  <c:v>235815</c:v>
                </c:pt>
                <c:pt idx="259">
                  <c:v>111517</c:v>
                </c:pt>
                <c:pt idx="260">
                  <c:v>166165</c:v>
                </c:pt>
                <c:pt idx="261">
                  <c:v>6074</c:v>
                </c:pt>
                <c:pt idx="262">
                  <c:v>110925</c:v>
                </c:pt>
                <c:pt idx="263">
                  <c:v>74153</c:v>
                </c:pt>
                <c:pt idx="264">
                  <c:v>76450</c:v>
                </c:pt>
                <c:pt idx="265">
                  <c:v>111451</c:v>
                </c:pt>
                <c:pt idx="266">
                  <c:v>69955</c:v>
                </c:pt>
                <c:pt idx="267">
                  <c:v>60815</c:v>
                </c:pt>
                <c:pt idx="268">
                  <c:v>123752</c:v>
                </c:pt>
                <c:pt idx="269">
                  <c:v>135431</c:v>
                </c:pt>
                <c:pt idx="270">
                  <c:v>8033</c:v>
                </c:pt>
                <c:pt idx="271">
                  <c:v>103030</c:v>
                </c:pt>
                <c:pt idx="272">
                  <c:v>56788</c:v>
                </c:pt>
                <c:pt idx="273">
                  <c:v>140035</c:v>
                </c:pt>
                <c:pt idx="274">
                  <c:v>128365</c:v>
                </c:pt>
                <c:pt idx="275">
                  <c:v>164176</c:v>
                </c:pt>
                <c:pt idx="276">
                  <c:v>106205</c:v>
                </c:pt>
                <c:pt idx="277">
                  <c:v>31228</c:v>
                </c:pt>
                <c:pt idx="278">
                  <c:v>178336</c:v>
                </c:pt>
                <c:pt idx="279">
                  <c:v>57376</c:v>
                </c:pt>
                <c:pt idx="280">
                  <c:v>88730</c:v>
                </c:pt>
                <c:pt idx="281">
                  <c:v>121749</c:v>
                </c:pt>
                <c:pt idx="282">
                  <c:v>116909</c:v>
                </c:pt>
                <c:pt idx="283">
                  <c:v>36102</c:v>
                </c:pt>
                <c:pt idx="284">
                  <c:v>-26056</c:v>
                </c:pt>
                <c:pt idx="285">
                  <c:v>23406</c:v>
                </c:pt>
                <c:pt idx="286">
                  <c:v>126823</c:v>
                </c:pt>
                <c:pt idx="287">
                  <c:v>51587</c:v>
                </c:pt>
                <c:pt idx="288">
                  <c:v>74863</c:v>
                </c:pt>
                <c:pt idx="289">
                  <c:v>74445</c:v>
                </c:pt>
                <c:pt idx="290">
                  <c:v>125762</c:v>
                </c:pt>
                <c:pt idx="291">
                  <c:v>-16774</c:v>
                </c:pt>
                <c:pt idx="292">
                  <c:v>84212</c:v>
                </c:pt>
                <c:pt idx="293">
                  <c:v>149834</c:v>
                </c:pt>
                <c:pt idx="294">
                  <c:v>159741</c:v>
                </c:pt>
                <c:pt idx="295">
                  <c:v>-18816</c:v>
                </c:pt>
                <c:pt idx="296">
                  <c:v>116714</c:v>
                </c:pt>
                <c:pt idx="297">
                  <c:v>8653</c:v>
                </c:pt>
                <c:pt idx="298">
                  <c:v>85175</c:v>
                </c:pt>
                <c:pt idx="299">
                  <c:v>118124</c:v>
                </c:pt>
                <c:pt idx="300">
                  <c:v>83361</c:v>
                </c:pt>
                <c:pt idx="301">
                  <c:v>152313</c:v>
                </c:pt>
                <c:pt idx="302">
                  <c:v>97619</c:v>
                </c:pt>
                <c:pt idx="303">
                  <c:v>41293</c:v>
                </c:pt>
                <c:pt idx="304">
                  <c:v>30590</c:v>
                </c:pt>
                <c:pt idx="305">
                  <c:v>160695</c:v>
                </c:pt>
                <c:pt idx="306">
                  <c:v>124782</c:v>
                </c:pt>
                <c:pt idx="307">
                  <c:v>83365</c:v>
                </c:pt>
                <c:pt idx="308">
                  <c:v>118203</c:v>
                </c:pt>
                <c:pt idx="309">
                  <c:v>47182</c:v>
                </c:pt>
                <c:pt idx="310">
                  <c:v>52701</c:v>
                </c:pt>
                <c:pt idx="311">
                  <c:v>172899</c:v>
                </c:pt>
                <c:pt idx="312">
                  <c:v>146514</c:v>
                </c:pt>
                <c:pt idx="313">
                  <c:v>51424</c:v>
                </c:pt>
                <c:pt idx="314">
                  <c:v>46851</c:v>
                </c:pt>
                <c:pt idx="315">
                  <c:v>164260</c:v>
                </c:pt>
                <c:pt idx="316">
                  <c:v>117252</c:v>
                </c:pt>
                <c:pt idx="317">
                  <c:v>-2581</c:v>
                </c:pt>
                <c:pt idx="318">
                  <c:v>107135</c:v>
                </c:pt>
                <c:pt idx="319">
                  <c:v>131027</c:v>
                </c:pt>
                <c:pt idx="320">
                  <c:v>92312</c:v>
                </c:pt>
                <c:pt idx="321">
                  <c:v>48541</c:v>
                </c:pt>
                <c:pt idx="322">
                  <c:v>19983</c:v>
                </c:pt>
                <c:pt idx="323">
                  <c:v>52012</c:v>
                </c:pt>
                <c:pt idx="324">
                  <c:v>50270</c:v>
                </c:pt>
                <c:pt idx="325">
                  <c:v>136167</c:v>
                </c:pt>
                <c:pt idx="326">
                  <c:v>170572</c:v>
                </c:pt>
                <c:pt idx="327">
                  <c:v>115622</c:v>
                </c:pt>
                <c:pt idx="328">
                  <c:v>139902</c:v>
                </c:pt>
                <c:pt idx="329">
                  <c:v>135151</c:v>
                </c:pt>
                <c:pt idx="330">
                  <c:v>62401</c:v>
                </c:pt>
                <c:pt idx="331">
                  <c:v>53658</c:v>
                </c:pt>
                <c:pt idx="332">
                  <c:v>35895</c:v>
                </c:pt>
                <c:pt idx="333">
                  <c:v>134075</c:v>
                </c:pt>
                <c:pt idx="334">
                  <c:v>64439</c:v>
                </c:pt>
                <c:pt idx="335">
                  <c:v>53702</c:v>
                </c:pt>
                <c:pt idx="336">
                  <c:v>131995</c:v>
                </c:pt>
                <c:pt idx="337">
                  <c:v>125697</c:v>
                </c:pt>
                <c:pt idx="338">
                  <c:v>89878</c:v>
                </c:pt>
                <c:pt idx="339">
                  <c:v>-21137</c:v>
                </c:pt>
                <c:pt idx="340">
                  <c:v>199143</c:v>
                </c:pt>
                <c:pt idx="341">
                  <c:v>94062</c:v>
                </c:pt>
                <c:pt idx="342">
                  <c:v>40910</c:v>
                </c:pt>
                <c:pt idx="343">
                  <c:v>120004</c:v>
                </c:pt>
                <c:pt idx="344">
                  <c:v>114421</c:v>
                </c:pt>
                <c:pt idx="345">
                  <c:v>101634</c:v>
                </c:pt>
                <c:pt idx="346">
                  <c:v>69785</c:v>
                </c:pt>
                <c:pt idx="347">
                  <c:v>96145</c:v>
                </c:pt>
                <c:pt idx="348">
                  <c:v>91454</c:v>
                </c:pt>
                <c:pt idx="349">
                  <c:v>159873</c:v>
                </c:pt>
                <c:pt idx="350">
                  <c:v>45248</c:v>
                </c:pt>
                <c:pt idx="351">
                  <c:v>52967</c:v>
                </c:pt>
                <c:pt idx="352">
                  <c:v>-33023</c:v>
                </c:pt>
                <c:pt idx="353">
                  <c:v>109917</c:v>
                </c:pt>
                <c:pt idx="354">
                  <c:v>57011</c:v>
                </c:pt>
                <c:pt idx="355">
                  <c:v>74394</c:v>
                </c:pt>
                <c:pt idx="356">
                  <c:v>82628</c:v>
                </c:pt>
                <c:pt idx="357">
                  <c:v>125041</c:v>
                </c:pt>
                <c:pt idx="358">
                  <c:v>65201</c:v>
                </c:pt>
                <c:pt idx="359">
                  <c:v>79286</c:v>
                </c:pt>
                <c:pt idx="360">
                  <c:v>118104</c:v>
                </c:pt>
                <c:pt idx="361">
                  <c:v>185128</c:v>
                </c:pt>
                <c:pt idx="362">
                  <c:v>83853</c:v>
                </c:pt>
                <c:pt idx="363">
                  <c:v>4276</c:v>
                </c:pt>
                <c:pt idx="364">
                  <c:v>202825</c:v>
                </c:pt>
                <c:pt idx="365">
                  <c:v>165788</c:v>
                </c:pt>
                <c:pt idx="366">
                  <c:v>137873</c:v>
                </c:pt>
                <c:pt idx="367">
                  <c:v>131056</c:v>
                </c:pt>
                <c:pt idx="368">
                  <c:v>19415</c:v>
                </c:pt>
                <c:pt idx="369">
                  <c:v>174182</c:v>
                </c:pt>
                <c:pt idx="370">
                  <c:v>49000</c:v>
                </c:pt>
                <c:pt idx="371">
                  <c:v>48727</c:v>
                </c:pt>
                <c:pt idx="372">
                  <c:v>27803</c:v>
                </c:pt>
                <c:pt idx="373">
                  <c:v>-4078</c:v>
                </c:pt>
                <c:pt idx="374">
                  <c:v>46725</c:v>
                </c:pt>
                <c:pt idx="375">
                  <c:v>121117</c:v>
                </c:pt>
                <c:pt idx="376">
                  <c:v>25606</c:v>
                </c:pt>
                <c:pt idx="377">
                  <c:v>103731</c:v>
                </c:pt>
                <c:pt idx="378">
                  <c:v>183080</c:v>
                </c:pt>
                <c:pt idx="379">
                  <c:v>44177</c:v>
                </c:pt>
                <c:pt idx="380">
                  <c:v>57514</c:v>
                </c:pt>
                <c:pt idx="381">
                  <c:v>24260</c:v>
                </c:pt>
                <c:pt idx="382">
                  <c:v>115074</c:v>
                </c:pt>
                <c:pt idx="383">
                  <c:v>176947</c:v>
                </c:pt>
                <c:pt idx="384">
                  <c:v>28092</c:v>
                </c:pt>
                <c:pt idx="385">
                  <c:v>105926</c:v>
                </c:pt>
                <c:pt idx="386">
                  <c:v>121425</c:v>
                </c:pt>
                <c:pt idx="387">
                  <c:v>103359</c:v>
                </c:pt>
                <c:pt idx="388">
                  <c:v>63232</c:v>
                </c:pt>
                <c:pt idx="389">
                  <c:v>-53348</c:v>
                </c:pt>
                <c:pt idx="390">
                  <c:v>202931</c:v>
                </c:pt>
                <c:pt idx="391">
                  <c:v>90817</c:v>
                </c:pt>
                <c:pt idx="392">
                  <c:v>197532</c:v>
                </c:pt>
                <c:pt idx="393">
                  <c:v>79118</c:v>
                </c:pt>
                <c:pt idx="394">
                  <c:v>138694</c:v>
                </c:pt>
                <c:pt idx="395">
                  <c:v>197396</c:v>
                </c:pt>
                <c:pt idx="396">
                  <c:v>67994</c:v>
                </c:pt>
                <c:pt idx="397">
                  <c:v>135889</c:v>
                </c:pt>
                <c:pt idx="398">
                  <c:v>47446</c:v>
                </c:pt>
                <c:pt idx="399">
                  <c:v>52853</c:v>
                </c:pt>
                <c:pt idx="400">
                  <c:v>140204</c:v>
                </c:pt>
                <c:pt idx="401">
                  <c:v>65747</c:v>
                </c:pt>
                <c:pt idx="402">
                  <c:v>118095</c:v>
                </c:pt>
                <c:pt idx="403">
                  <c:v>41084</c:v>
                </c:pt>
                <c:pt idx="404">
                  <c:v>35414</c:v>
                </c:pt>
                <c:pt idx="405">
                  <c:v>-25664</c:v>
                </c:pt>
                <c:pt idx="406">
                  <c:v>-42780</c:v>
                </c:pt>
                <c:pt idx="407">
                  <c:v>139512</c:v>
                </c:pt>
                <c:pt idx="408">
                  <c:v>28740</c:v>
                </c:pt>
                <c:pt idx="409">
                  <c:v>107364</c:v>
                </c:pt>
                <c:pt idx="410">
                  <c:v>-2835</c:v>
                </c:pt>
                <c:pt idx="411">
                  <c:v>92099</c:v>
                </c:pt>
                <c:pt idx="412">
                  <c:v>62535</c:v>
                </c:pt>
                <c:pt idx="413">
                  <c:v>-45327</c:v>
                </c:pt>
                <c:pt idx="414">
                  <c:v>165867</c:v>
                </c:pt>
                <c:pt idx="415">
                  <c:v>75542</c:v>
                </c:pt>
                <c:pt idx="416">
                  <c:v>151043</c:v>
                </c:pt>
                <c:pt idx="417">
                  <c:v>107062</c:v>
                </c:pt>
                <c:pt idx="418">
                  <c:v>150329</c:v>
                </c:pt>
                <c:pt idx="419">
                  <c:v>196205</c:v>
                </c:pt>
                <c:pt idx="420">
                  <c:v>161995</c:v>
                </c:pt>
                <c:pt idx="421">
                  <c:v>15341</c:v>
                </c:pt>
                <c:pt idx="422">
                  <c:v>111055</c:v>
                </c:pt>
                <c:pt idx="423">
                  <c:v>-5604</c:v>
                </c:pt>
                <c:pt idx="424">
                  <c:v>16718</c:v>
                </c:pt>
                <c:pt idx="425">
                  <c:v>128926</c:v>
                </c:pt>
                <c:pt idx="426">
                  <c:v>46091</c:v>
                </c:pt>
                <c:pt idx="427">
                  <c:v>141502</c:v>
                </c:pt>
                <c:pt idx="428">
                  <c:v>201676</c:v>
                </c:pt>
                <c:pt idx="429">
                  <c:v>6184</c:v>
                </c:pt>
                <c:pt idx="430">
                  <c:v>150500</c:v>
                </c:pt>
                <c:pt idx="431">
                  <c:v>104023</c:v>
                </c:pt>
                <c:pt idx="432">
                  <c:v>87182</c:v>
                </c:pt>
                <c:pt idx="433">
                  <c:v>209577</c:v>
                </c:pt>
                <c:pt idx="434">
                  <c:v>44109</c:v>
                </c:pt>
                <c:pt idx="435">
                  <c:v>144354</c:v>
                </c:pt>
                <c:pt idx="436">
                  <c:v>211016</c:v>
                </c:pt>
                <c:pt idx="437">
                  <c:v>29394</c:v>
                </c:pt>
                <c:pt idx="438">
                  <c:v>97487</c:v>
                </c:pt>
                <c:pt idx="439">
                  <c:v>130721</c:v>
                </c:pt>
                <c:pt idx="440">
                  <c:v>124241</c:v>
                </c:pt>
                <c:pt idx="441">
                  <c:v>26079</c:v>
                </c:pt>
                <c:pt idx="442">
                  <c:v>-9034</c:v>
                </c:pt>
                <c:pt idx="443">
                  <c:v>165373</c:v>
                </c:pt>
                <c:pt idx="444">
                  <c:v>96118</c:v>
                </c:pt>
                <c:pt idx="445">
                  <c:v>72252</c:v>
                </c:pt>
                <c:pt idx="446">
                  <c:v>154187</c:v>
                </c:pt>
                <c:pt idx="447">
                  <c:v>127472</c:v>
                </c:pt>
                <c:pt idx="448">
                  <c:v>115331</c:v>
                </c:pt>
                <c:pt idx="449">
                  <c:v>74078</c:v>
                </c:pt>
                <c:pt idx="450">
                  <c:v>184231</c:v>
                </c:pt>
                <c:pt idx="451">
                  <c:v>89376</c:v>
                </c:pt>
                <c:pt idx="452">
                  <c:v>52604</c:v>
                </c:pt>
                <c:pt idx="453">
                  <c:v>36175</c:v>
                </c:pt>
                <c:pt idx="454">
                  <c:v>82290</c:v>
                </c:pt>
                <c:pt idx="455">
                  <c:v>74344</c:v>
                </c:pt>
                <c:pt idx="456">
                  <c:v>81812</c:v>
                </c:pt>
                <c:pt idx="457">
                  <c:v>132583</c:v>
                </c:pt>
                <c:pt idx="458">
                  <c:v>33927</c:v>
                </c:pt>
                <c:pt idx="459">
                  <c:v>41280</c:v>
                </c:pt>
                <c:pt idx="460">
                  <c:v>82669</c:v>
                </c:pt>
                <c:pt idx="461">
                  <c:v>18908</c:v>
                </c:pt>
                <c:pt idx="462">
                  <c:v>196001</c:v>
                </c:pt>
                <c:pt idx="463">
                  <c:v>133836</c:v>
                </c:pt>
                <c:pt idx="464">
                  <c:v>58696</c:v>
                </c:pt>
                <c:pt idx="465">
                  <c:v>142267</c:v>
                </c:pt>
                <c:pt idx="466">
                  <c:v>50071</c:v>
                </c:pt>
                <c:pt idx="467">
                  <c:v>93489</c:v>
                </c:pt>
                <c:pt idx="468">
                  <c:v>213512</c:v>
                </c:pt>
                <c:pt idx="469">
                  <c:v>150406</c:v>
                </c:pt>
                <c:pt idx="470">
                  <c:v>106461</c:v>
                </c:pt>
                <c:pt idx="471">
                  <c:v>49402</c:v>
                </c:pt>
                <c:pt idx="472">
                  <c:v>-36985</c:v>
                </c:pt>
                <c:pt idx="473">
                  <c:v>163270</c:v>
                </c:pt>
                <c:pt idx="474">
                  <c:v>175189</c:v>
                </c:pt>
                <c:pt idx="475">
                  <c:v>167099</c:v>
                </c:pt>
                <c:pt idx="476">
                  <c:v>197980</c:v>
                </c:pt>
                <c:pt idx="477">
                  <c:v>158058</c:v>
                </c:pt>
                <c:pt idx="478">
                  <c:v>112905</c:v>
                </c:pt>
                <c:pt idx="479">
                  <c:v>56413</c:v>
                </c:pt>
                <c:pt idx="480">
                  <c:v>115013</c:v>
                </c:pt>
                <c:pt idx="481">
                  <c:v>84442</c:v>
                </c:pt>
                <c:pt idx="482">
                  <c:v>106573</c:v>
                </c:pt>
                <c:pt idx="483">
                  <c:v>6210</c:v>
                </c:pt>
                <c:pt idx="484">
                  <c:v>238127</c:v>
                </c:pt>
                <c:pt idx="485">
                  <c:v>110099</c:v>
                </c:pt>
                <c:pt idx="486">
                  <c:v>139464</c:v>
                </c:pt>
                <c:pt idx="487">
                  <c:v>105971</c:v>
                </c:pt>
                <c:pt idx="488">
                  <c:v>8611</c:v>
                </c:pt>
                <c:pt idx="489">
                  <c:v>127201</c:v>
                </c:pt>
                <c:pt idx="490">
                  <c:v>18211</c:v>
                </c:pt>
                <c:pt idx="491">
                  <c:v>74336</c:v>
                </c:pt>
                <c:pt idx="492">
                  <c:v>127880</c:v>
                </c:pt>
                <c:pt idx="493">
                  <c:v>22257</c:v>
                </c:pt>
                <c:pt idx="494">
                  <c:v>21892</c:v>
                </c:pt>
                <c:pt idx="495">
                  <c:v>61539</c:v>
                </c:pt>
                <c:pt idx="496">
                  <c:v>-451</c:v>
                </c:pt>
                <c:pt idx="497">
                  <c:v>209805</c:v>
                </c:pt>
                <c:pt idx="498">
                  <c:v>236654</c:v>
                </c:pt>
                <c:pt idx="499">
                  <c:v>126840</c:v>
                </c:pt>
              </c:numCache>
            </c:numRef>
          </c:yVal>
          <c:smooth val="0"/>
          <c:extLst>
            <c:ext xmlns:c16="http://schemas.microsoft.com/office/drawing/2014/chart" uri="{C3380CC4-5D6E-409C-BE32-E72D297353CC}">
              <c16:uniqueId val="{00000000-60FE-41E2-B38F-60267AA51A2F}"/>
            </c:ext>
          </c:extLst>
        </c:ser>
        <c:dLbls>
          <c:showLegendKey val="0"/>
          <c:showVal val="0"/>
          <c:showCatName val="0"/>
          <c:showSerName val="0"/>
          <c:showPercent val="0"/>
          <c:showBubbleSize val="0"/>
        </c:dLbls>
        <c:axId val="1391695311"/>
        <c:axId val="1391702031"/>
      </c:scatterChart>
      <c:valAx>
        <c:axId val="1391695311"/>
        <c:scaling>
          <c:orientation val="minMax"/>
          <c:min val="5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1702031"/>
        <c:crosses val="autoZero"/>
        <c:crossBetween val="midCat"/>
      </c:valAx>
      <c:valAx>
        <c:axId val="139170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91695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Operating Expenses VS Profit After Tax (PAT)</a:t>
            </a:r>
            <a:r>
              <a:rPr lang="en-US" b="1" baseline="0">
                <a:solidFill>
                  <a:sysClr val="windowText" lastClr="000000"/>
                </a:solidFill>
              </a:rPr>
              <a:t> </a:t>
            </a:r>
            <a:endParaRPr lang="en-US" b="1">
              <a:solidFill>
                <a:sysClr val="windowText" lastClr="000000"/>
              </a:solidFill>
            </a:endParaRPr>
          </a:p>
        </c:rich>
      </c:tx>
      <c:overlay val="0"/>
      <c:spPr>
        <a:solidFill>
          <a:schemeClr val="accent4">
            <a:lumMod val="40000"/>
            <a:lumOff val="60000"/>
            <a:alpha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Powerquery!$F$1</c:f>
              <c:strCache>
                <c:ptCount val="1"/>
                <c:pt idx="0">
                  <c:v>Sum</c:v>
                </c:pt>
              </c:strCache>
            </c:strRef>
          </c:tx>
          <c:spPr>
            <a:ln w="28575" cap="rnd">
              <a:noFill/>
              <a:round/>
            </a:ln>
            <a:effectLst/>
          </c:spPr>
          <c:marker>
            <c:symbol val="circle"/>
            <c:size val="5"/>
            <c:spPr>
              <a:solidFill>
                <a:srgbClr val="7030A0"/>
              </a:solidFill>
              <a:ln w="9525">
                <a:solidFill>
                  <a:schemeClr val="accent1"/>
                </a:solidFill>
              </a:ln>
              <a:effectLst/>
            </c:spPr>
          </c:marker>
          <c:xVal>
            <c:numRef>
              <c:f>Powerquery!$E$2:$E$499</c:f>
              <c:numCache>
                <c:formatCode>General</c:formatCode>
                <c:ptCount val="498"/>
                <c:pt idx="0">
                  <c:v>91820</c:v>
                </c:pt>
                <c:pt idx="1">
                  <c:v>31023</c:v>
                </c:pt>
                <c:pt idx="2">
                  <c:v>79925</c:v>
                </c:pt>
                <c:pt idx="3">
                  <c:v>40658</c:v>
                </c:pt>
                <c:pt idx="4">
                  <c:v>71886</c:v>
                </c:pt>
                <c:pt idx="5">
                  <c:v>56606</c:v>
                </c:pt>
                <c:pt idx="6">
                  <c:v>32159</c:v>
                </c:pt>
                <c:pt idx="7">
                  <c:v>93953</c:v>
                </c:pt>
                <c:pt idx="8">
                  <c:v>55397</c:v>
                </c:pt>
                <c:pt idx="9">
                  <c:v>97798</c:v>
                </c:pt>
                <c:pt idx="10">
                  <c:v>76228</c:v>
                </c:pt>
                <c:pt idx="11">
                  <c:v>17695</c:v>
                </c:pt>
                <c:pt idx="12">
                  <c:v>53660</c:v>
                </c:pt>
                <c:pt idx="13">
                  <c:v>23392</c:v>
                </c:pt>
                <c:pt idx="14">
                  <c:v>94575</c:v>
                </c:pt>
                <c:pt idx="15">
                  <c:v>42266</c:v>
                </c:pt>
                <c:pt idx="16">
                  <c:v>38419</c:v>
                </c:pt>
                <c:pt idx="17">
                  <c:v>33141</c:v>
                </c:pt>
                <c:pt idx="18">
                  <c:v>79044</c:v>
                </c:pt>
                <c:pt idx="19">
                  <c:v>63925</c:v>
                </c:pt>
                <c:pt idx="20">
                  <c:v>59262</c:v>
                </c:pt>
                <c:pt idx="21">
                  <c:v>73053</c:v>
                </c:pt>
                <c:pt idx="22">
                  <c:v>49766</c:v>
                </c:pt>
                <c:pt idx="23">
                  <c:v>61576</c:v>
                </c:pt>
                <c:pt idx="24">
                  <c:v>38664</c:v>
                </c:pt>
                <c:pt idx="25">
                  <c:v>53623</c:v>
                </c:pt>
                <c:pt idx="26">
                  <c:v>78734</c:v>
                </c:pt>
                <c:pt idx="27">
                  <c:v>52157</c:v>
                </c:pt>
                <c:pt idx="28">
                  <c:v>37671</c:v>
                </c:pt>
                <c:pt idx="29">
                  <c:v>71250</c:v>
                </c:pt>
                <c:pt idx="30">
                  <c:v>82270</c:v>
                </c:pt>
                <c:pt idx="31">
                  <c:v>16802</c:v>
                </c:pt>
                <c:pt idx="32">
                  <c:v>75713</c:v>
                </c:pt>
                <c:pt idx="33">
                  <c:v>17049</c:v>
                </c:pt>
                <c:pt idx="34">
                  <c:v>87694</c:v>
                </c:pt>
                <c:pt idx="35">
                  <c:v>19499</c:v>
                </c:pt>
                <c:pt idx="36">
                  <c:v>27874</c:v>
                </c:pt>
                <c:pt idx="37">
                  <c:v>97018</c:v>
                </c:pt>
                <c:pt idx="38">
                  <c:v>65108</c:v>
                </c:pt>
                <c:pt idx="39">
                  <c:v>18987</c:v>
                </c:pt>
                <c:pt idx="40">
                  <c:v>55818</c:v>
                </c:pt>
                <c:pt idx="41">
                  <c:v>89290</c:v>
                </c:pt>
                <c:pt idx="42">
                  <c:v>54790</c:v>
                </c:pt>
                <c:pt idx="43">
                  <c:v>58484</c:v>
                </c:pt>
                <c:pt idx="44">
                  <c:v>18420</c:v>
                </c:pt>
                <c:pt idx="45">
                  <c:v>21102</c:v>
                </c:pt>
                <c:pt idx="46">
                  <c:v>38093</c:v>
                </c:pt>
                <c:pt idx="47">
                  <c:v>33070</c:v>
                </c:pt>
                <c:pt idx="48">
                  <c:v>42751</c:v>
                </c:pt>
                <c:pt idx="49">
                  <c:v>34190</c:v>
                </c:pt>
                <c:pt idx="50">
                  <c:v>85316</c:v>
                </c:pt>
                <c:pt idx="51">
                  <c:v>47097</c:v>
                </c:pt>
                <c:pt idx="52">
                  <c:v>65300</c:v>
                </c:pt>
                <c:pt idx="53">
                  <c:v>95135</c:v>
                </c:pt>
                <c:pt idx="54">
                  <c:v>73335</c:v>
                </c:pt>
                <c:pt idx="55">
                  <c:v>88847</c:v>
                </c:pt>
                <c:pt idx="56">
                  <c:v>47217</c:v>
                </c:pt>
                <c:pt idx="57">
                  <c:v>31896</c:v>
                </c:pt>
                <c:pt idx="58">
                  <c:v>18343</c:v>
                </c:pt>
                <c:pt idx="59">
                  <c:v>82215</c:v>
                </c:pt>
                <c:pt idx="60">
                  <c:v>69340</c:v>
                </c:pt>
                <c:pt idx="61">
                  <c:v>77752</c:v>
                </c:pt>
                <c:pt idx="62">
                  <c:v>80417</c:v>
                </c:pt>
                <c:pt idx="63">
                  <c:v>19611</c:v>
                </c:pt>
                <c:pt idx="64">
                  <c:v>33071</c:v>
                </c:pt>
                <c:pt idx="65">
                  <c:v>53304</c:v>
                </c:pt>
                <c:pt idx="66">
                  <c:v>27161</c:v>
                </c:pt>
                <c:pt idx="67">
                  <c:v>30305</c:v>
                </c:pt>
                <c:pt idx="68">
                  <c:v>97745</c:v>
                </c:pt>
                <c:pt idx="69">
                  <c:v>59425</c:v>
                </c:pt>
                <c:pt idx="70">
                  <c:v>85640</c:v>
                </c:pt>
                <c:pt idx="71">
                  <c:v>35150</c:v>
                </c:pt>
                <c:pt idx="72">
                  <c:v>29397</c:v>
                </c:pt>
                <c:pt idx="73">
                  <c:v>94459</c:v>
                </c:pt>
                <c:pt idx="74">
                  <c:v>47307</c:v>
                </c:pt>
                <c:pt idx="75">
                  <c:v>75566</c:v>
                </c:pt>
                <c:pt idx="76">
                  <c:v>26174</c:v>
                </c:pt>
                <c:pt idx="77">
                  <c:v>63136</c:v>
                </c:pt>
                <c:pt idx="78">
                  <c:v>65343</c:v>
                </c:pt>
                <c:pt idx="79">
                  <c:v>43295</c:v>
                </c:pt>
                <c:pt idx="80">
                  <c:v>34870</c:v>
                </c:pt>
                <c:pt idx="81">
                  <c:v>30485</c:v>
                </c:pt>
                <c:pt idx="82">
                  <c:v>72799</c:v>
                </c:pt>
                <c:pt idx="83">
                  <c:v>95219</c:v>
                </c:pt>
                <c:pt idx="84">
                  <c:v>82641</c:v>
                </c:pt>
                <c:pt idx="85">
                  <c:v>76642</c:v>
                </c:pt>
                <c:pt idx="86">
                  <c:v>53413</c:v>
                </c:pt>
                <c:pt idx="87">
                  <c:v>36447</c:v>
                </c:pt>
                <c:pt idx="88">
                  <c:v>46921</c:v>
                </c:pt>
                <c:pt idx="89">
                  <c:v>53088</c:v>
                </c:pt>
                <c:pt idx="90">
                  <c:v>60445</c:v>
                </c:pt>
                <c:pt idx="91">
                  <c:v>73141</c:v>
                </c:pt>
                <c:pt idx="92">
                  <c:v>77292</c:v>
                </c:pt>
                <c:pt idx="93">
                  <c:v>33017</c:v>
                </c:pt>
                <c:pt idx="94">
                  <c:v>62926</c:v>
                </c:pt>
                <c:pt idx="95">
                  <c:v>38524</c:v>
                </c:pt>
                <c:pt idx="96">
                  <c:v>49816</c:v>
                </c:pt>
                <c:pt idx="97">
                  <c:v>52744</c:v>
                </c:pt>
                <c:pt idx="98">
                  <c:v>73017</c:v>
                </c:pt>
                <c:pt idx="99">
                  <c:v>39285</c:v>
                </c:pt>
                <c:pt idx="100">
                  <c:v>59238</c:v>
                </c:pt>
                <c:pt idx="101">
                  <c:v>80215</c:v>
                </c:pt>
                <c:pt idx="102">
                  <c:v>38386</c:v>
                </c:pt>
                <c:pt idx="103">
                  <c:v>57318</c:v>
                </c:pt>
                <c:pt idx="104">
                  <c:v>34963</c:v>
                </c:pt>
                <c:pt idx="105">
                  <c:v>27015</c:v>
                </c:pt>
                <c:pt idx="106">
                  <c:v>86774</c:v>
                </c:pt>
                <c:pt idx="107">
                  <c:v>98807</c:v>
                </c:pt>
                <c:pt idx="108">
                  <c:v>72108</c:v>
                </c:pt>
                <c:pt idx="109">
                  <c:v>33777</c:v>
                </c:pt>
                <c:pt idx="110">
                  <c:v>25488</c:v>
                </c:pt>
                <c:pt idx="111">
                  <c:v>79291</c:v>
                </c:pt>
                <c:pt idx="112">
                  <c:v>15055</c:v>
                </c:pt>
                <c:pt idx="113">
                  <c:v>31748</c:v>
                </c:pt>
                <c:pt idx="114">
                  <c:v>97838</c:v>
                </c:pt>
                <c:pt idx="115">
                  <c:v>61271</c:v>
                </c:pt>
                <c:pt idx="116">
                  <c:v>21229</c:v>
                </c:pt>
                <c:pt idx="117">
                  <c:v>22561</c:v>
                </c:pt>
                <c:pt idx="118">
                  <c:v>41069</c:v>
                </c:pt>
                <c:pt idx="119">
                  <c:v>96449</c:v>
                </c:pt>
                <c:pt idx="120">
                  <c:v>91090</c:v>
                </c:pt>
                <c:pt idx="121">
                  <c:v>16605</c:v>
                </c:pt>
                <c:pt idx="122">
                  <c:v>42446</c:v>
                </c:pt>
                <c:pt idx="123">
                  <c:v>31389</c:v>
                </c:pt>
                <c:pt idx="124">
                  <c:v>15846</c:v>
                </c:pt>
                <c:pt idx="125">
                  <c:v>57101</c:v>
                </c:pt>
                <c:pt idx="126">
                  <c:v>57533</c:v>
                </c:pt>
                <c:pt idx="127">
                  <c:v>74383</c:v>
                </c:pt>
                <c:pt idx="128">
                  <c:v>20287</c:v>
                </c:pt>
                <c:pt idx="129">
                  <c:v>94767</c:v>
                </c:pt>
                <c:pt idx="130">
                  <c:v>57929</c:v>
                </c:pt>
                <c:pt idx="131">
                  <c:v>58925</c:v>
                </c:pt>
                <c:pt idx="132">
                  <c:v>30524</c:v>
                </c:pt>
                <c:pt idx="133">
                  <c:v>44287</c:v>
                </c:pt>
                <c:pt idx="134">
                  <c:v>34096</c:v>
                </c:pt>
                <c:pt idx="135">
                  <c:v>19018</c:v>
                </c:pt>
                <c:pt idx="136">
                  <c:v>71819</c:v>
                </c:pt>
                <c:pt idx="137">
                  <c:v>66356</c:v>
                </c:pt>
                <c:pt idx="138">
                  <c:v>34029</c:v>
                </c:pt>
                <c:pt idx="139">
                  <c:v>44486</c:v>
                </c:pt>
                <c:pt idx="140">
                  <c:v>29382</c:v>
                </c:pt>
                <c:pt idx="141">
                  <c:v>86315</c:v>
                </c:pt>
                <c:pt idx="142">
                  <c:v>15814</c:v>
                </c:pt>
                <c:pt idx="143">
                  <c:v>71942</c:v>
                </c:pt>
                <c:pt idx="144">
                  <c:v>68028</c:v>
                </c:pt>
                <c:pt idx="145">
                  <c:v>59327</c:v>
                </c:pt>
                <c:pt idx="146">
                  <c:v>16645</c:v>
                </c:pt>
                <c:pt idx="147">
                  <c:v>54282</c:v>
                </c:pt>
                <c:pt idx="148">
                  <c:v>28224</c:v>
                </c:pt>
                <c:pt idx="149">
                  <c:v>72761</c:v>
                </c:pt>
                <c:pt idx="150">
                  <c:v>60765</c:v>
                </c:pt>
                <c:pt idx="151">
                  <c:v>31241</c:v>
                </c:pt>
                <c:pt idx="152">
                  <c:v>64840</c:v>
                </c:pt>
                <c:pt idx="153">
                  <c:v>77823</c:v>
                </c:pt>
                <c:pt idx="154">
                  <c:v>48719</c:v>
                </c:pt>
                <c:pt idx="155">
                  <c:v>79077</c:v>
                </c:pt>
                <c:pt idx="156">
                  <c:v>26485</c:v>
                </c:pt>
                <c:pt idx="157">
                  <c:v>63770</c:v>
                </c:pt>
                <c:pt idx="158">
                  <c:v>41399</c:v>
                </c:pt>
                <c:pt idx="159">
                  <c:v>71373</c:v>
                </c:pt>
                <c:pt idx="160">
                  <c:v>49911</c:v>
                </c:pt>
                <c:pt idx="161">
                  <c:v>81358</c:v>
                </c:pt>
                <c:pt idx="162">
                  <c:v>75500</c:v>
                </c:pt>
                <c:pt idx="163">
                  <c:v>38236</c:v>
                </c:pt>
                <c:pt idx="164">
                  <c:v>93757</c:v>
                </c:pt>
                <c:pt idx="165">
                  <c:v>60648</c:v>
                </c:pt>
                <c:pt idx="166">
                  <c:v>43529</c:v>
                </c:pt>
                <c:pt idx="167">
                  <c:v>70029</c:v>
                </c:pt>
                <c:pt idx="168">
                  <c:v>76268</c:v>
                </c:pt>
                <c:pt idx="169">
                  <c:v>55809</c:v>
                </c:pt>
                <c:pt idx="170">
                  <c:v>61828</c:v>
                </c:pt>
                <c:pt idx="171">
                  <c:v>44373</c:v>
                </c:pt>
                <c:pt idx="172">
                  <c:v>34250</c:v>
                </c:pt>
                <c:pt idx="173">
                  <c:v>87355</c:v>
                </c:pt>
                <c:pt idx="174">
                  <c:v>89478</c:v>
                </c:pt>
                <c:pt idx="175">
                  <c:v>60420</c:v>
                </c:pt>
                <c:pt idx="176">
                  <c:v>52904</c:v>
                </c:pt>
                <c:pt idx="177">
                  <c:v>39354</c:v>
                </c:pt>
                <c:pt idx="178">
                  <c:v>84626</c:v>
                </c:pt>
                <c:pt idx="179">
                  <c:v>16341</c:v>
                </c:pt>
                <c:pt idx="180">
                  <c:v>16750</c:v>
                </c:pt>
                <c:pt idx="181">
                  <c:v>92454</c:v>
                </c:pt>
                <c:pt idx="182">
                  <c:v>27182</c:v>
                </c:pt>
                <c:pt idx="183">
                  <c:v>95559</c:v>
                </c:pt>
                <c:pt idx="184">
                  <c:v>66571</c:v>
                </c:pt>
                <c:pt idx="185">
                  <c:v>72132</c:v>
                </c:pt>
                <c:pt idx="186">
                  <c:v>93187</c:v>
                </c:pt>
                <c:pt idx="187">
                  <c:v>22564</c:v>
                </c:pt>
                <c:pt idx="188">
                  <c:v>44430</c:v>
                </c:pt>
                <c:pt idx="189">
                  <c:v>54974</c:v>
                </c:pt>
                <c:pt idx="190">
                  <c:v>48039</c:v>
                </c:pt>
                <c:pt idx="191">
                  <c:v>25816</c:v>
                </c:pt>
                <c:pt idx="192">
                  <c:v>47913</c:v>
                </c:pt>
                <c:pt idx="193">
                  <c:v>60028</c:v>
                </c:pt>
                <c:pt idx="194">
                  <c:v>49636</c:v>
                </c:pt>
                <c:pt idx="195">
                  <c:v>71979</c:v>
                </c:pt>
                <c:pt idx="196">
                  <c:v>92129</c:v>
                </c:pt>
                <c:pt idx="197">
                  <c:v>29199</c:v>
                </c:pt>
                <c:pt idx="198">
                  <c:v>77483</c:v>
                </c:pt>
                <c:pt idx="199">
                  <c:v>22906</c:v>
                </c:pt>
                <c:pt idx="200">
                  <c:v>98300</c:v>
                </c:pt>
                <c:pt idx="201">
                  <c:v>40931</c:v>
                </c:pt>
                <c:pt idx="202">
                  <c:v>96121</c:v>
                </c:pt>
                <c:pt idx="203">
                  <c:v>24903</c:v>
                </c:pt>
                <c:pt idx="204">
                  <c:v>34129</c:v>
                </c:pt>
                <c:pt idx="205">
                  <c:v>82675</c:v>
                </c:pt>
                <c:pt idx="206">
                  <c:v>41292</c:v>
                </c:pt>
                <c:pt idx="207">
                  <c:v>37534</c:v>
                </c:pt>
                <c:pt idx="208">
                  <c:v>62638</c:v>
                </c:pt>
                <c:pt idx="209">
                  <c:v>72932</c:v>
                </c:pt>
                <c:pt idx="210">
                  <c:v>46966</c:v>
                </c:pt>
                <c:pt idx="211">
                  <c:v>85981</c:v>
                </c:pt>
                <c:pt idx="212">
                  <c:v>41660</c:v>
                </c:pt>
                <c:pt idx="213">
                  <c:v>95395</c:v>
                </c:pt>
                <c:pt idx="214">
                  <c:v>52567</c:v>
                </c:pt>
                <c:pt idx="215">
                  <c:v>72372</c:v>
                </c:pt>
                <c:pt idx="216">
                  <c:v>59569</c:v>
                </c:pt>
                <c:pt idx="217">
                  <c:v>21540</c:v>
                </c:pt>
                <c:pt idx="218">
                  <c:v>65975</c:v>
                </c:pt>
                <c:pt idx="219">
                  <c:v>48756</c:v>
                </c:pt>
                <c:pt idx="220">
                  <c:v>20626</c:v>
                </c:pt>
                <c:pt idx="221">
                  <c:v>99976</c:v>
                </c:pt>
                <c:pt idx="222">
                  <c:v>33639</c:v>
                </c:pt>
                <c:pt idx="223">
                  <c:v>83916</c:v>
                </c:pt>
                <c:pt idx="224">
                  <c:v>76788</c:v>
                </c:pt>
                <c:pt idx="225">
                  <c:v>67098</c:v>
                </c:pt>
                <c:pt idx="226">
                  <c:v>94083</c:v>
                </c:pt>
                <c:pt idx="227">
                  <c:v>69615</c:v>
                </c:pt>
                <c:pt idx="228">
                  <c:v>44009</c:v>
                </c:pt>
                <c:pt idx="229">
                  <c:v>36804</c:v>
                </c:pt>
                <c:pt idx="230">
                  <c:v>84298</c:v>
                </c:pt>
                <c:pt idx="231">
                  <c:v>89319</c:v>
                </c:pt>
                <c:pt idx="232">
                  <c:v>78483</c:v>
                </c:pt>
                <c:pt idx="233">
                  <c:v>71985</c:v>
                </c:pt>
                <c:pt idx="234">
                  <c:v>24078</c:v>
                </c:pt>
                <c:pt idx="235">
                  <c:v>79881</c:v>
                </c:pt>
                <c:pt idx="236">
                  <c:v>76550</c:v>
                </c:pt>
                <c:pt idx="237">
                  <c:v>42961</c:v>
                </c:pt>
                <c:pt idx="238">
                  <c:v>51877</c:v>
                </c:pt>
                <c:pt idx="239">
                  <c:v>94148</c:v>
                </c:pt>
                <c:pt idx="240">
                  <c:v>98847</c:v>
                </c:pt>
                <c:pt idx="241">
                  <c:v>31082</c:v>
                </c:pt>
                <c:pt idx="242">
                  <c:v>23946</c:v>
                </c:pt>
                <c:pt idx="243">
                  <c:v>74321</c:v>
                </c:pt>
                <c:pt idx="244">
                  <c:v>54063</c:v>
                </c:pt>
                <c:pt idx="245">
                  <c:v>46585</c:v>
                </c:pt>
                <c:pt idx="246">
                  <c:v>44426</c:v>
                </c:pt>
                <c:pt idx="247">
                  <c:v>99878</c:v>
                </c:pt>
                <c:pt idx="248">
                  <c:v>41916</c:v>
                </c:pt>
                <c:pt idx="249">
                  <c:v>84350</c:v>
                </c:pt>
                <c:pt idx="250">
                  <c:v>36927</c:v>
                </c:pt>
                <c:pt idx="251">
                  <c:v>48397</c:v>
                </c:pt>
                <c:pt idx="252">
                  <c:v>21276</c:v>
                </c:pt>
                <c:pt idx="253">
                  <c:v>66886</c:v>
                </c:pt>
                <c:pt idx="254">
                  <c:v>98310</c:v>
                </c:pt>
                <c:pt idx="255">
                  <c:v>81504</c:v>
                </c:pt>
                <c:pt idx="256">
                  <c:v>24200</c:v>
                </c:pt>
                <c:pt idx="257">
                  <c:v>76212</c:v>
                </c:pt>
                <c:pt idx="258">
                  <c:v>24110</c:v>
                </c:pt>
                <c:pt idx="259">
                  <c:v>16969</c:v>
                </c:pt>
                <c:pt idx="260">
                  <c:v>28669</c:v>
                </c:pt>
                <c:pt idx="261">
                  <c:v>70409</c:v>
                </c:pt>
                <c:pt idx="262">
                  <c:v>52208</c:v>
                </c:pt>
                <c:pt idx="263">
                  <c:v>41984</c:v>
                </c:pt>
                <c:pt idx="264">
                  <c:v>75576</c:v>
                </c:pt>
                <c:pt idx="265">
                  <c:v>40923</c:v>
                </c:pt>
                <c:pt idx="266">
                  <c:v>18712</c:v>
                </c:pt>
                <c:pt idx="267">
                  <c:v>42723</c:v>
                </c:pt>
                <c:pt idx="268">
                  <c:v>23927</c:v>
                </c:pt>
                <c:pt idx="269">
                  <c:v>21471</c:v>
                </c:pt>
                <c:pt idx="270">
                  <c:v>19760</c:v>
                </c:pt>
                <c:pt idx="271">
                  <c:v>26563</c:v>
                </c:pt>
                <c:pt idx="272">
                  <c:v>48174</c:v>
                </c:pt>
                <c:pt idx="273">
                  <c:v>23906</c:v>
                </c:pt>
                <c:pt idx="274">
                  <c:v>22151</c:v>
                </c:pt>
                <c:pt idx="275">
                  <c:v>27289</c:v>
                </c:pt>
                <c:pt idx="276">
                  <c:v>44734</c:v>
                </c:pt>
                <c:pt idx="277">
                  <c:v>89172</c:v>
                </c:pt>
                <c:pt idx="278">
                  <c:v>36675</c:v>
                </c:pt>
                <c:pt idx="279">
                  <c:v>49068</c:v>
                </c:pt>
                <c:pt idx="280">
                  <c:v>49084</c:v>
                </c:pt>
                <c:pt idx="281">
                  <c:v>80681</c:v>
                </c:pt>
                <c:pt idx="282">
                  <c:v>32633</c:v>
                </c:pt>
                <c:pt idx="283">
                  <c:v>48755</c:v>
                </c:pt>
                <c:pt idx="284">
                  <c:v>80108</c:v>
                </c:pt>
                <c:pt idx="285">
                  <c:v>91329</c:v>
                </c:pt>
                <c:pt idx="286">
                  <c:v>46367</c:v>
                </c:pt>
                <c:pt idx="287">
                  <c:v>85587</c:v>
                </c:pt>
                <c:pt idx="288">
                  <c:v>88794</c:v>
                </c:pt>
                <c:pt idx="289">
                  <c:v>73576</c:v>
                </c:pt>
                <c:pt idx="290">
                  <c:v>75963</c:v>
                </c:pt>
                <c:pt idx="291">
                  <c:v>43982</c:v>
                </c:pt>
                <c:pt idx="292">
                  <c:v>61479</c:v>
                </c:pt>
                <c:pt idx="293">
                  <c:v>44301</c:v>
                </c:pt>
                <c:pt idx="294">
                  <c:v>71273</c:v>
                </c:pt>
                <c:pt idx="295">
                  <c:v>34169</c:v>
                </c:pt>
                <c:pt idx="296">
                  <c:v>62864</c:v>
                </c:pt>
                <c:pt idx="297">
                  <c:v>98362</c:v>
                </c:pt>
                <c:pt idx="298">
                  <c:v>49594</c:v>
                </c:pt>
                <c:pt idx="299">
                  <c:v>46750</c:v>
                </c:pt>
                <c:pt idx="300">
                  <c:v>71154</c:v>
                </c:pt>
                <c:pt idx="301">
                  <c:v>44984</c:v>
                </c:pt>
                <c:pt idx="302">
                  <c:v>29716</c:v>
                </c:pt>
                <c:pt idx="303">
                  <c:v>63244</c:v>
                </c:pt>
                <c:pt idx="304">
                  <c:v>61659</c:v>
                </c:pt>
                <c:pt idx="305">
                  <c:v>92452</c:v>
                </c:pt>
                <c:pt idx="306">
                  <c:v>33268</c:v>
                </c:pt>
                <c:pt idx="307">
                  <c:v>70677</c:v>
                </c:pt>
                <c:pt idx="308">
                  <c:v>74474</c:v>
                </c:pt>
                <c:pt idx="309">
                  <c:v>38291</c:v>
                </c:pt>
                <c:pt idx="310">
                  <c:v>81918</c:v>
                </c:pt>
                <c:pt idx="311">
                  <c:v>30422</c:v>
                </c:pt>
                <c:pt idx="312">
                  <c:v>41715</c:v>
                </c:pt>
                <c:pt idx="313">
                  <c:v>77646</c:v>
                </c:pt>
                <c:pt idx="314">
                  <c:v>20542</c:v>
                </c:pt>
                <c:pt idx="315">
                  <c:v>68744</c:v>
                </c:pt>
                <c:pt idx="316">
                  <c:v>25749</c:v>
                </c:pt>
                <c:pt idx="317">
                  <c:v>87930</c:v>
                </c:pt>
                <c:pt idx="318">
                  <c:v>47784</c:v>
                </c:pt>
                <c:pt idx="319">
                  <c:v>18631</c:v>
                </c:pt>
                <c:pt idx="320">
                  <c:v>66431</c:v>
                </c:pt>
                <c:pt idx="321">
                  <c:v>88616</c:v>
                </c:pt>
                <c:pt idx="322">
                  <c:v>78936</c:v>
                </c:pt>
                <c:pt idx="323">
                  <c:v>43082</c:v>
                </c:pt>
                <c:pt idx="324">
                  <c:v>63355</c:v>
                </c:pt>
                <c:pt idx="325">
                  <c:v>43138</c:v>
                </c:pt>
                <c:pt idx="326">
                  <c:v>67161</c:v>
                </c:pt>
                <c:pt idx="327">
                  <c:v>74560</c:v>
                </c:pt>
                <c:pt idx="328">
                  <c:v>61857</c:v>
                </c:pt>
                <c:pt idx="329">
                  <c:v>54071</c:v>
                </c:pt>
                <c:pt idx="330">
                  <c:v>60838</c:v>
                </c:pt>
                <c:pt idx="331">
                  <c:v>64145</c:v>
                </c:pt>
                <c:pt idx="332">
                  <c:v>91971</c:v>
                </c:pt>
                <c:pt idx="333">
                  <c:v>91272</c:v>
                </c:pt>
                <c:pt idx="334">
                  <c:v>94751</c:v>
                </c:pt>
                <c:pt idx="335">
                  <c:v>73712</c:v>
                </c:pt>
                <c:pt idx="336">
                  <c:v>70731</c:v>
                </c:pt>
                <c:pt idx="337">
                  <c:v>18754</c:v>
                </c:pt>
                <c:pt idx="338">
                  <c:v>98986</c:v>
                </c:pt>
                <c:pt idx="339">
                  <c:v>44806</c:v>
                </c:pt>
                <c:pt idx="340">
                  <c:v>53787</c:v>
                </c:pt>
                <c:pt idx="341">
                  <c:v>49196</c:v>
                </c:pt>
                <c:pt idx="342">
                  <c:v>52900</c:v>
                </c:pt>
                <c:pt idx="343">
                  <c:v>78437</c:v>
                </c:pt>
                <c:pt idx="344">
                  <c:v>20110</c:v>
                </c:pt>
                <c:pt idx="345">
                  <c:v>81549</c:v>
                </c:pt>
                <c:pt idx="346">
                  <c:v>95073</c:v>
                </c:pt>
                <c:pt idx="347">
                  <c:v>83099</c:v>
                </c:pt>
                <c:pt idx="348">
                  <c:v>21643</c:v>
                </c:pt>
                <c:pt idx="349">
                  <c:v>78646</c:v>
                </c:pt>
                <c:pt idx="350">
                  <c:v>77539</c:v>
                </c:pt>
                <c:pt idx="351">
                  <c:v>72775</c:v>
                </c:pt>
                <c:pt idx="352">
                  <c:v>48937</c:v>
                </c:pt>
                <c:pt idx="353">
                  <c:v>90054</c:v>
                </c:pt>
                <c:pt idx="354">
                  <c:v>49051</c:v>
                </c:pt>
                <c:pt idx="355">
                  <c:v>18471</c:v>
                </c:pt>
                <c:pt idx="356">
                  <c:v>21397</c:v>
                </c:pt>
                <c:pt idx="357">
                  <c:v>40122</c:v>
                </c:pt>
                <c:pt idx="358">
                  <c:v>57963</c:v>
                </c:pt>
                <c:pt idx="359">
                  <c:v>44309</c:v>
                </c:pt>
                <c:pt idx="360">
                  <c:v>58619</c:v>
                </c:pt>
                <c:pt idx="361">
                  <c:v>22736</c:v>
                </c:pt>
                <c:pt idx="362">
                  <c:v>95797</c:v>
                </c:pt>
                <c:pt idx="363">
                  <c:v>15162</c:v>
                </c:pt>
                <c:pt idx="364">
                  <c:v>24833</c:v>
                </c:pt>
                <c:pt idx="365">
                  <c:v>17643</c:v>
                </c:pt>
                <c:pt idx="366">
                  <c:v>45682</c:v>
                </c:pt>
                <c:pt idx="367">
                  <c:v>92465</c:v>
                </c:pt>
                <c:pt idx="368">
                  <c:v>41928</c:v>
                </c:pt>
                <c:pt idx="369">
                  <c:v>39259</c:v>
                </c:pt>
                <c:pt idx="370">
                  <c:v>90415</c:v>
                </c:pt>
                <c:pt idx="371">
                  <c:v>59629</c:v>
                </c:pt>
                <c:pt idx="372">
                  <c:v>98457</c:v>
                </c:pt>
                <c:pt idx="373">
                  <c:v>93258</c:v>
                </c:pt>
                <c:pt idx="374">
                  <c:v>45651</c:v>
                </c:pt>
                <c:pt idx="375">
                  <c:v>52823</c:v>
                </c:pt>
                <c:pt idx="376">
                  <c:v>45573</c:v>
                </c:pt>
                <c:pt idx="377">
                  <c:v>15781</c:v>
                </c:pt>
                <c:pt idx="378">
                  <c:v>44118</c:v>
                </c:pt>
                <c:pt idx="379">
                  <c:v>38648</c:v>
                </c:pt>
                <c:pt idx="380">
                  <c:v>41390</c:v>
                </c:pt>
                <c:pt idx="381">
                  <c:v>66707</c:v>
                </c:pt>
                <c:pt idx="382">
                  <c:v>36038</c:v>
                </c:pt>
                <c:pt idx="383">
                  <c:v>92067</c:v>
                </c:pt>
                <c:pt idx="384">
                  <c:v>15282</c:v>
                </c:pt>
                <c:pt idx="385">
                  <c:v>32071</c:v>
                </c:pt>
                <c:pt idx="386">
                  <c:v>77987</c:v>
                </c:pt>
                <c:pt idx="387">
                  <c:v>57870</c:v>
                </c:pt>
                <c:pt idx="388">
                  <c:v>82065</c:v>
                </c:pt>
                <c:pt idx="389">
                  <c:v>41819</c:v>
                </c:pt>
                <c:pt idx="390">
                  <c:v>64416</c:v>
                </c:pt>
                <c:pt idx="391">
                  <c:v>45090</c:v>
                </c:pt>
                <c:pt idx="392">
                  <c:v>24346</c:v>
                </c:pt>
                <c:pt idx="393">
                  <c:v>40556</c:v>
                </c:pt>
                <c:pt idx="394">
                  <c:v>48866</c:v>
                </c:pt>
                <c:pt idx="395">
                  <c:v>91637</c:v>
                </c:pt>
                <c:pt idx="396">
                  <c:v>89663</c:v>
                </c:pt>
                <c:pt idx="397">
                  <c:v>70296</c:v>
                </c:pt>
                <c:pt idx="398">
                  <c:v>86906</c:v>
                </c:pt>
                <c:pt idx="399">
                  <c:v>70267</c:v>
                </c:pt>
                <c:pt idx="400">
                  <c:v>71526</c:v>
                </c:pt>
                <c:pt idx="401">
                  <c:v>73810</c:v>
                </c:pt>
                <c:pt idx="402">
                  <c:v>89567</c:v>
                </c:pt>
                <c:pt idx="403">
                  <c:v>23472</c:v>
                </c:pt>
                <c:pt idx="404">
                  <c:v>84624</c:v>
                </c:pt>
                <c:pt idx="405">
                  <c:v>87766</c:v>
                </c:pt>
                <c:pt idx="406">
                  <c:v>19493</c:v>
                </c:pt>
                <c:pt idx="407">
                  <c:v>74711</c:v>
                </c:pt>
                <c:pt idx="408">
                  <c:v>86363</c:v>
                </c:pt>
                <c:pt idx="409">
                  <c:v>85910</c:v>
                </c:pt>
                <c:pt idx="410">
                  <c:v>69306</c:v>
                </c:pt>
                <c:pt idx="411">
                  <c:v>94151</c:v>
                </c:pt>
                <c:pt idx="412">
                  <c:v>61403</c:v>
                </c:pt>
                <c:pt idx="413">
                  <c:v>21581</c:v>
                </c:pt>
                <c:pt idx="414">
                  <c:v>76944</c:v>
                </c:pt>
                <c:pt idx="415">
                  <c:v>45795</c:v>
                </c:pt>
                <c:pt idx="416">
                  <c:v>77824</c:v>
                </c:pt>
                <c:pt idx="417">
                  <c:v>41512</c:v>
                </c:pt>
                <c:pt idx="418">
                  <c:v>44033</c:v>
                </c:pt>
                <c:pt idx="419">
                  <c:v>71044</c:v>
                </c:pt>
                <c:pt idx="420">
                  <c:v>73557</c:v>
                </c:pt>
                <c:pt idx="421">
                  <c:v>32087</c:v>
                </c:pt>
                <c:pt idx="422">
                  <c:v>85448</c:v>
                </c:pt>
                <c:pt idx="423">
                  <c:v>83648</c:v>
                </c:pt>
                <c:pt idx="424">
                  <c:v>74518</c:v>
                </c:pt>
                <c:pt idx="425">
                  <c:v>87124</c:v>
                </c:pt>
                <c:pt idx="426">
                  <c:v>94190</c:v>
                </c:pt>
                <c:pt idx="427">
                  <c:v>38377</c:v>
                </c:pt>
                <c:pt idx="428">
                  <c:v>49542</c:v>
                </c:pt>
                <c:pt idx="429">
                  <c:v>39306</c:v>
                </c:pt>
                <c:pt idx="430">
                  <c:v>25058</c:v>
                </c:pt>
                <c:pt idx="431">
                  <c:v>32154</c:v>
                </c:pt>
                <c:pt idx="432">
                  <c:v>43669</c:v>
                </c:pt>
                <c:pt idx="433">
                  <c:v>89964</c:v>
                </c:pt>
                <c:pt idx="434">
                  <c:v>22461</c:v>
                </c:pt>
                <c:pt idx="435">
                  <c:v>51788</c:v>
                </c:pt>
                <c:pt idx="436">
                  <c:v>99162</c:v>
                </c:pt>
                <c:pt idx="437">
                  <c:v>30434</c:v>
                </c:pt>
                <c:pt idx="438">
                  <c:v>55603</c:v>
                </c:pt>
                <c:pt idx="439">
                  <c:v>99526</c:v>
                </c:pt>
                <c:pt idx="440">
                  <c:v>59014</c:v>
                </c:pt>
                <c:pt idx="441">
                  <c:v>94239</c:v>
                </c:pt>
                <c:pt idx="442">
                  <c:v>20744</c:v>
                </c:pt>
                <c:pt idx="443">
                  <c:v>85188</c:v>
                </c:pt>
                <c:pt idx="444">
                  <c:v>94674</c:v>
                </c:pt>
                <c:pt idx="445">
                  <c:v>88851</c:v>
                </c:pt>
                <c:pt idx="446">
                  <c:v>76516</c:v>
                </c:pt>
                <c:pt idx="447">
                  <c:v>30848</c:v>
                </c:pt>
                <c:pt idx="448">
                  <c:v>65098</c:v>
                </c:pt>
                <c:pt idx="449">
                  <c:v>15340</c:v>
                </c:pt>
                <c:pt idx="450">
                  <c:v>45654</c:v>
                </c:pt>
                <c:pt idx="451">
                  <c:v>28283</c:v>
                </c:pt>
                <c:pt idx="452">
                  <c:v>61840</c:v>
                </c:pt>
                <c:pt idx="453">
                  <c:v>16307</c:v>
                </c:pt>
                <c:pt idx="454">
                  <c:v>39842</c:v>
                </c:pt>
                <c:pt idx="455">
                  <c:v>70690</c:v>
                </c:pt>
                <c:pt idx="456">
                  <c:v>81093</c:v>
                </c:pt>
                <c:pt idx="457">
                  <c:v>71115</c:v>
                </c:pt>
                <c:pt idx="458">
                  <c:v>94063</c:v>
                </c:pt>
                <c:pt idx="459">
                  <c:v>45386</c:v>
                </c:pt>
                <c:pt idx="460">
                  <c:v>43398</c:v>
                </c:pt>
                <c:pt idx="461">
                  <c:v>23016</c:v>
                </c:pt>
                <c:pt idx="462">
                  <c:v>36826</c:v>
                </c:pt>
                <c:pt idx="463">
                  <c:v>66919</c:v>
                </c:pt>
                <c:pt idx="464">
                  <c:v>37313</c:v>
                </c:pt>
                <c:pt idx="465">
                  <c:v>71622</c:v>
                </c:pt>
                <c:pt idx="466">
                  <c:v>25886</c:v>
                </c:pt>
                <c:pt idx="467">
                  <c:v>23068</c:v>
                </c:pt>
                <c:pt idx="468">
                  <c:v>90969</c:v>
                </c:pt>
                <c:pt idx="469">
                  <c:v>63511</c:v>
                </c:pt>
                <c:pt idx="470">
                  <c:v>47955</c:v>
                </c:pt>
                <c:pt idx="471">
                  <c:v>71699</c:v>
                </c:pt>
                <c:pt idx="472">
                  <c:v>25350</c:v>
                </c:pt>
                <c:pt idx="473">
                  <c:v>38782</c:v>
                </c:pt>
                <c:pt idx="474">
                  <c:v>50596</c:v>
                </c:pt>
                <c:pt idx="475">
                  <c:v>31566</c:v>
                </c:pt>
                <c:pt idx="476">
                  <c:v>15159</c:v>
                </c:pt>
                <c:pt idx="477">
                  <c:v>61101</c:v>
                </c:pt>
                <c:pt idx="478">
                  <c:v>89763</c:v>
                </c:pt>
                <c:pt idx="479">
                  <c:v>63688</c:v>
                </c:pt>
                <c:pt idx="480">
                  <c:v>83703</c:v>
                </c:pt>
                <c:pt idx="481">
                  <c:v>37440</c:v>
                </c:pt>
                <c:pt idx="482">
                  <c:v>86274</c:v>
                </c:pt>
                <c:pt idx="483">
                  <c:v>17224</c:v>
                </c:pt>
                <c:pt idx="484">
                  <c:v>77368</c:v>
                </c:pt>
                <c:pt idx="485">
                  <c:v>30372</c:v>
                </c:pt>
                <c:pt idx="486">
                  <c:v>86368</c:v>
                </c:pt>
                <c:pt idx="487">
                  <c:v>60968</c:v>
                </c:pt>
                <c:pt idx="488">
                  <c:v>20355</c:v>
                </c:pt>
                <c:pt idx="489">
                  <c:v>41654</c:v>
                </c:pt>
                <c:pt idx="490">
                  <c:v>49773</c:v>
                </c:pt>
                <c:pt idx="491">
                  <c:v>62377</c:v>
                </c:pt>
                <c:pt idx="492">
                  <c:v>69336</c:v>
                </c:pt>
                <c:pt idx="493">
                  <c:v>70860</c:v>
                </c:pt>
                <c:pt idx="494">
                  <c:v>69131</c:v>
                </c:pt>
                <c:pt idx="495">
                  <c:v>59864</c:v>
                </c:pt>
                <c:pt idx="496">
                  <c:v>18866</c:v>
                </c:pt>
                <c:pt idx="497">
                  <c:v>35447</c:v>
                </c:pt>
              </c:numCache>
            </c:numRef>
          </c:xVal>
          <c:yVal>
            <c:numRef>
              <c:f>Powerquery!$F$2:$F$499</c:f>
              <c:numCache>
                <c:formatCode>General</c:formatCode>
                <c:ptCount val="498"/>
                <c:pt idx="0">
                  <c:v>66938</c:v>
                </c:pt>
                <c:pt idx="1">
                  <c:v>147514</c:v>
                </c:pt>
                <c:pt idx="2">
                  <c:v>-20369</c:v>
                </c:pt>
                <c:pt idx="3">
                  <c:v>143139</c:v>
                </c:pt>
                <c:pt idx="4">
                  <c:v>82234</c:v>
                </c:pt>
                <c:pt idx="5">
                  <c:v>-66916</c:v>
                </c:pt>
                <c:pt idx="6">
                  <c:v>106855</c:v>
                </c:pt>
                <c:pt idx="7">
                  <c:v>-13853</c:v>
                </c:pt>
                <c:pt idx="8">
                  <c:v>17580</c:v>
                </c:pt>
                <c:pt idx="9">
                  <c:v>23946</c:v>
                </c:pt>
                <c:pt idx="10">
                  <c:v>118137</c:v>
                </c:pt>
                <c:pt idx="11">
                  <c:v>32422</c:v>
                </c:pt>
                <c:pt idx="12">
                  <c:v>-34427</c:v>
                </c:pt>
                <c:pt idx="13">
                  <c:v>96440</c:v>
                </c:pt>
                <c:pt idx="14">
                  <c:v>83746</c:v>
                </c:pt>
                <c:pt idx="15">
                  <c:v>182773</c:v>
                </c:pt>
                <c:pt idx="16">
                  <c:v>226543</c:v>
                </c:pt>
                <c:pt idx="17">
                  <c:v>93725</c:v>
                </c:pt>
                <c:pt idx="18">
                  <c:v>53076</c:v>
                </c:pt>
                <c:pt idx="19">
                  <c:v>-56629</c:v>
                </c:pt>
                <c:pt idx="20">
                  <c:v>29806</c:v>
                </c:pt>
                <c:pt idx="21">
                  <c:v>26662</c:v>
                </c:pt>
                <c:pt idx="22">
                  <c:v>56642</c:v>
                </c:pt>
                <c:pt idx="23">
                  <c:v>55300</c:v>
                </c:pt>
                <c:pt idx="24">
                  <c:v>94589</c:v>
                </c:pt>
                <c:pt idx="25">
                  <c:v>112951</c:v>
                </c:pt>
                <c:pt idx="26">
                  <c:v>86340</c:v>
                </c:pt>
                <c:pt idx="27">
                  <c:v>135076</c:v>
                </c:pt>
                <c:pt idx="28">
                  <c:v>145960</c:v>
                </c:pt>
                <c:pt idx="29">
                  <c:v>-58785</c:v>
                </c:pt>
                <c:pt idx="30">
                  <c:v>-6696</c:v>
                </c:pt>
                <c:pt idx="31">
                  <c:v>160125</c:v>
                </c:pt>
                <c:pt idx="32">
                  <c:v>52866</c:v>
                </c:pt>
                <c:pt idx="33">
                  <c:v>204040</c:v>
                </c:pt>
                <c:pt idx="34">
                  <c:v>12569</c:v>
                </c:pt>
                <c:pt idx="35">
                  <c:v>62640</c:v>
                </c:pt>
                <c:pt idx="36">
                  <c:v>100743</c:v>
                </c:pt>
                <c:pt idx="37">
                  <c:v>120648</c:v>
                </c:pt>
                <c:pt idx="38">
                  <c:v>58523</c:v>
                </c:pt>
                <c:pt idx="39">
                  <c:v>132118</c:v>
                </c:pt>
                <c:pt idx="40">
                  <c:v>85723</c:v>
                </c:pt>
                <c:pt idx="41">
                  <c:v>52101</c:v>
                </c:pt>
                <c:pt idx="42">
                  <c:v>49077</c:v>
                </c:pt>
                <c:pt idx="43">
                  <c:v>47107</c:v>
                </c:pt>
                <c:pt idx="44">
                  <c:v>87370</c:v>
                </c:pt>
                <c:pt idx="45">
                  <c:v>88115</c:v>
                </c:pt>
                <c:pt idx="46">
                  <c:v>44140</c:v>
                </c:pt>
                <c:pt idx="47">
                  <c:v>65631</c:v>
                </c:pt>
                <c:pt idx="48">
                  <c:v>39185</c:v>
                </c:pt>
                <c:pt idx="49">
                  <c:v>63452</c:v>
                </c:pt>
                <c:pt idx="50">
                  <c:v>-2023</c:v>
                </c:pt>
                <c:pt idx="51">
                  <c:v>25450</c:v>
                </c:pt>
                <c:pt idx="52">
                  <c:v>104460</c:v>
                </c:pt>
                <c:pt idx="53">
                  <c:v>107788</c:v>
                </c:pt>
                <c:pt idx="54">
                  <c:v>80149</c:v>
                </c:pt>
                <c:pt idx="55">
                  <c:v>92056</c:v>
                </c:pt>
                <c:pt idx="56">
                  <c:v>179948</c:v>
                </c:pt>
                <c:pt idx="57">
                  <c:v>173143</c:v>
                </c:pt>
                <c:pt idx="58">
                  <c:v>57226</c:v>
                </c:pt>
                <c:pt idx="59">
                  <c:v>99736</c:v>
                </c:pt>
                <c:pt idx="60">
                  <c:v>18864</c:v>
                </c:pt>
                <c:pt idx="61">
                  <c:v>79226</c:v>
                </c:pt>
                <c:pt idx="62">
                  <c:v>-39517</c:v>
                </c:pt>
                <c:pt idx="63">
                  <c:v>81310</c:v>
                </c:pt>
                <c:pt idx="64">
                  <c:v>114600</c:v>
                </c:pt>
                <c:pt idx="65">
                  <c:v>149485</c:v>
                </c:pt>
                <c:pt idx="66">
                  <c:v>102576</c:v>
                </c:pt>
                <c:pt idx="67">
                  <c:v>175492</c:v>
                </c:pt>
                <c:pt idx="68">
                  <c:v>-5123</c:v>
                </c:pt>
                <c:pt idx="69">
                  <c:v>27326</c:v>
                </c:pt>
                <c:pt idx="70">
                  <c:v>37398</c:v>
                </c:pt>
                <c:pt idx="71">
                  <c:v>70079</c:v>
                </c:pt>
                <c:pt idx="72">
                  <c:v>121983</c:v>
                </c:pt>
                <c:pt idx="73">
                  <c:v>20322</c:v>
                </c:pt>
                <c:pt idx="74">
                  <c:v>77331</c:v>
                </c:pt>
                <c:pt idx="75">
                  <c:v>160440</c:v>
                </c:pt>
                <c:pt idx="76">
                  <c:v>111317</c:v>
                </c:pt>
                <c:pt idx="77">
                  <c:v>81095</c:v>
                </c:pt>
                <c:pt idx="78">
                  <c:v>12941</c:v>
                </c:pt>
                <c:pt idx="79">
                  <c:v>-7768</c:v>
                </c:pt>
                <c:pt idx="80">
                  <c:v>207146</c:v>
                </c:pt>
                <c:pt idx="81">
                  <c:v>164515</c:v>
                </c:pt>
                <c:pt idx="82">
                  <c:v>121462</c:v>
                </c:pt>
                <c:pt idx="83">
                  <c:v>-7731</c:v>
                </c:pt>
                <c:pt idx="84">
                  <c:v>44949</c:v>
                </c:pt>
                <c:pt idx="85">
                  <c:v>77461</c:v>
                </c:pt>
                <c:pt idx="86">
                  <c:v>43730</c:v>
                </c:pt>
                <c:pt idx="87">
                  <c:v>159120</c:v>
                </c:pt>
                <c:pt idx="88">
                  <c:v>80103</c:v>
                </c:pt>
                <c:pt idx="89">
                  <c:v>23977</c:v>
                </c:pt>
                <c:pt idx="90">
                  <c:v>95666</c:v>
                </c:pt>
                <c:pt idx="91">
                  <c:v>128454</c:v>
                </c:pt>
                <c:pt idx="92">
                  <c:v>19066</c:v>
                </c:pt>
                <c:pt idx="93">
                  <c:v>-4547</c:v>
                </c:pt>
                <c:pt idx="94">
                  <c:v>154306</c:v>
                </c:pt>
                <c:pt idx="95">
                  <c:v>69444</c:v>
                </c:pt>
                <c:pt idx="96">
                  <c:v>122742</c:v>
                </c:pt>
                <c:pt idx="97">
                  <c:v>97703</c:v>
                </c:pt>
                <c:pt idx="98">
                  <c:v>18063</c:v>
                </c:pt>
                <c:pt idx="99">
                  <c:v>82007</c:v>
                </c:pt>
                <c:pt idx="100">
                  <c:v>12204</c:v>
                </c:pt>
                <c:pt idx="101">
                  <c:v>40239</c:v>
                </c:pt>
                <c:pt idx="102">
                  <c:v>83791</c:v>
                </c:pt>
                <c:pt idx="103">
                  <c:v>89897</c:v>
                </c:pt>
                <c:pt idx="104">
                  <c:v>77629</c:v>
                </c:pt>
                <c:pt idx="105">
                  <c:v>-8930</c:v>
                </c:pt>
                <c:pt idx="106">
                  <c:v>169857</c:v>
                </c:pt>
                <c:pt idx="107">
                  <c:v>-37005</c:v>
                </c:pt>
                <c:pt idx="108">
                  <c:v>14373</c:v>
                </c:pt>
                <c:pt idx="109">
                  <c:v>70473</c:v>
                </c:pt>
                <c:pt idx="110">
                  <c:v>139397</c:v>
                </c:pt>
                <c:pt idx="111">
                  <c:v>35608</c:v>
                </c:pt>
                <c:pt idx="112">
                  <c:v>162616</c:v>
                </c:pt>
                <c:pt idx="113">
                  <c:v>24728</c:v>
                </c:pt>
                <c:pt idx="114">
                  <c:v>103398</c:v>
                </c:pt>
                <c:pt idx="115">
                  <c:v>107790</c:v>
                </c:pt>
                <c:pt idx="116">
                  <c:v>210987</c:v>
                </c:pt>
                <c:pt idx="117">
                  <c:v>134345</c:v>
                </c:pt>
                <c:pt idx="118">
                  <c:v>106248</c:v>
                </c:pt>
                <c:pt idx="119">
                  <c:v>89342</c:v>
                </c:pt>
                <c:pt idx="120">
                  <c:v>39271</c:v>
                </c:pt>
                <c:pt idx="121">
                  <c:v>217072</c:v>
                </c:pt>
                <c:pt idx="122">
                  <c:v>150370</c:v>
                </c:pt>
                <c:pt idx="123">
                  <c:v>51275</c:v>
                </c:pt>
                <c:pt idx="124">
                  <c:v>202596</c:v>
                </c:pt>
                <c:pt idx="125">
                  <c:v>54441</c:v>
                </c:pt>
                <c:pt idx="126">
                  <c:v>292359</c:v>
                </c:pt>
                <c:pt idx="127">
                  <c:v>-11372</c:v>
                </c:pt>
                <c:pt idx="128">
                  <c:v>214621</c:v>
                </c:pt>
                <c:pt idx="129">
                  <c:v>142469</c:v>
                </c:pt>
                <c:pt idx="130">
                  <c:v>92467</c:v>
                </c:pt>
                <c:pt idx="131">
                  <c:v>108423</c:v>
                </c:pt>
                <c:pt idx="132">
                  <c:v>144333</c:v>
                </c:pt>
                <c:pt idx="133">
                  <c:v>65912</c:v>
                </c:pt>
                <c:pt idx="134">
                  <c:v>115296</c:v>
                </c:pt>
                <c:pt idx="135">
                  <c:v>232941</c:v>
                </c:pt>
                <c:pt idx="136">
                  <c:v>139743</c:v>
                </c:pt>
                <c:pt idx="137">
                  <c:v>-2616</c:v>
                </c:pt>
                <c:pt idx="138">
                  <c:v>116956</c:v>
                </c:pt>
                <c:pt idx="139">
                  <c:v>21870</c:v>
                </c:pt>
                <c:pt idx="140">
                  <c:v>111027</c:v>
                </c:pt>
                <c:pt idx="141">
                  <c:v>142954</c:v>
                </c:pt>
                <c:pt idx="142">
                  <c:v>144101</c:v>
                </c:pt>
                <c:pt idx="143">
                  <c:v>116706</c:v>
                </c:pt>
                <c:pt idx="144">
                  <c:v>16867</c:v>
                </c:pt>
                <c:pt idx="145">
                  <c:v>12803</c:v>
                </c:pt>
                <c:pt idx="146">
                  <c:v>75288</c:v>
                </c:pt>
                <c:pt idx="147">
                  <c:v>85425</c:v>
                </c:pt>
                <c:pt idx="148">
                  <c:v>138072</c:v>
                </c:pt>
                <c:pt idx="149">
                  <c:v>121884</c:v>
                </c:pt>
                <c:pt idx="150">
                  <c:v>28986</c:v>
                </c:pt>
                <c:pt idx="151">
                  <c:v>17226</c:v>
                </c:pt>
                <c:pt idx="152">
                  <c:v>33050</c:v>
                </c:pt>
                <c:pt idx="153">
                  <c:v>120810</c:v>
                </c:pt>
                <c:pt idx="154">
                  <c:v>121536</c:v>
                </c:pt>
                <c:pt idx="155">
                  <c:v>78917</c:v>
                </c:pt>
                <c:pt idx="156">
                  <c:v>152172</c:v>
                </c:pt>
                <c:pt idx="157">
                  <c:v>62094</c:v>
                </c:pt>
                <c:pt idx="158">
                  <c:v>161290</c:v>
                </c:pt>
                <c:pt idx="159">
                  <c:v>24830</c:v>
                </c:pt>
                <c:pt idx="160">
                  <c:v>92758</c:v>
                </c:pt>
                <c:pt idx="161">
                  <c:v>86369</c:v>
                </c:pt>
                <c:pt idx="162">
                  <c:v>-30361</c:v>
                </c:pt>
                <c:pt idx="163">
                  <c:v>167963</c:v>
                </c:pt>
                <c:pt idx="164">
                  <c:v>76854</c:v>
                </c:pt>
                <c:pt idx="165">
                  <c:v>132194</c:v>
                </c:pt>
                <c:pt idx="166">
                  <c:v>115699</c:v>
                </c:pt>
                <c:pt idx="167">
                  <c:v>32872</c:v>
                </c:pt>
                <c:pt idx="168">
                  <c:v>73510</c:v>
                </c:pt>
                <c:pt idx="169">
                  <c:v>154429</c:v>
                </c:pt>
                <c:pt idx="170">
                  <c:v>37059</c:v>
                </c:pt>
                <c:pt idx="171">
                  <c:v>206560</c:v>
                </c:pt>
                <c:pt idx="172">
                  <c:v>135977</c:v>
                </c:pt>
                <c:pt idx="173">
                  <c:v>53688</c:v>
                </c:pt>
                <c:pt idx="174">
                  <c:v>-4795</c:v>
                </c:pt>
                <c:pt idx="175">
                  <c:v>150326</c:v>
                </c:pt>
                <c:pt idx="176">
                  <c:v>156515</c:v>
                </c:pt>
                <c:pt idx="177">
                  <c:v>47800</c:v>
                </c:pt>
                <c:pt idx="178">
                  <c:v>15418</c:v>
                </c:pt>
                <c:pt idx="179">
                  <c:v>29569</c:v>
                </c:pt>
                <c:pt idx="180">
                  <c:v>141639</c:v>
                </c:pt>
                <c:pt idx="181">
                  <c:v>105456</c:v>
                </c:pt>
                <c:pt idx="182">
                  <c:v>92316</c:v>
                </c:pt>
                <c:pt idx="183">
                  <c:v>-80142</c:v>
                </c:pt>
                <c:pt idx="184">
                  <c:v>142916</c:v>
                </c:pt>
                <c:pt idx="185">
                  <c:v>21669</c:v>
                </c:pt>
                <c:pt idx="186">
                  <c:v>93486</c:v>
                </c:pt>
                <c:pt idx="187">
                  <c:v>25160</c:v>
                </c:pt>
                <c:pt idx="188">
                  <c:v>96535</c:v>
                </c:pt>
                <c:pt idx="189">
                  <c:v>165788</c:v>
                </c:pt>
                <c:pt idx="190">
                  <c:v>12058</c:v>
                </c:pt>
                <c:pt idx="191">
                  <c:v>63954</c:v>
                </c:pt>
                <c:pt idx="192">
                  <c:v>49049</c:v>
                </c:pt>
                <c:pt idx="193">
                  <c:v>148771</c:v>
                </c:pt>
                <c:pt idx="194">
                  <c:v>91265</c:v>
                </c:pt>
                <c:pt idx="195">
                  <c:v>42867</c:v>
                </c:pt>
                <c:pt idx="196">
                  <c:v>-30156</c:v>
                </c:pt>
                <c:pt idx="197">
                  <c:v>158056</c:v>
                </c:pt>
                <c:pt idx="198">
                  <c:v>66971</c:v>
                </c:pt>
                <c:pt idx="199">
                  <c:v>144915</c:v>
                </c:pt>
                <c:pt idx="200">
                  <c:v>-16688</c:v>
                </c:pt>
                <c:pt idx="201">
                  <c:v>-621</c:v>
                </c:pt>
                <c:pt idx="202">
                  <c:v>10704</c:v>
                </c:pt>
                <c:pt idx="203">
                  <c:v>217909</c:v>
                </c:pt>
                <c:pt idx="204">
                  <c:v>218971</c:v>
                </c:pt>
                <c:pt idx="205">
                  <c:v>44665</c:v>
                </c:pt>
                <c:pt idx="206">
                  <c:v>127081</c:v>
                </c:pt>
                <c:pt idx="207">
                  <c:v>125112</c:v>
                </c:pt>
                <c:pt idx="208">
                  <c:v>56157</c:v>
                </c:pt>
                <c:pt idx="209">
                  <c:v>57366</c:v>
                </c:pt>
                <c:pt idx="210">
                  <c:v>47603</c:v>
                </c:pt>
                <c:pt idx="211">
                  <c:v>-69957</c:v>
                </c:pt>
                <c:pt idx="212">
                  <c:v>95798</c:v>
                </c:pt>
                <c:pt idx="213">
                  <c:v>113186</c:v>
                </c:pt>
                <c:pt idx="214">
                  <c:v>-34752</c:v>
                </c:pt>
                <c:pt idx="215">
                  <c:v>57463</c:v>
                </c:pt>
                <c:pt idx="216">
                  <c:v>81951</c:v>
                </c:pt>
                <c:pt idx="217">
                  <c:v>218331</c:v>
                </c:pt>
                <c:pt idx="218">
                  <c:v>59888</c:v>
                </c:pt>
                <c:pt idx="219">
                  <c:v>16323</c:v>
                </c:pt>
                <c:pt idx="220">
                  <c:v>47631</c:v>
                </c:pt>
                <c:pt idx="221">
                  <c:v>60233</c:v>
                </c:pt>
                <c:pt idx="222">
                  <c:v>34000</c:v>
                </c:pt>
                <c:pt idx="223">
                  <c:v>111713</c:v>
                </c:pt>
                <c:pt idx="224">
                  <c:v>57825</c:v>
                </c:pt>
                <c:pt idx="225">
                  <c:v>121144</c:v>
                </c:pt>
                <c:pt idx="226">
                  <c:v>26996</c:v>
                </c:pt>
                <c:pt idx="227">
                  <c:v>145326</c:v>
                </c:pt>
                <c:pt idx="228">
                  <c:v>102115</c:v>
                </c:pt>
                <c:pt idx="229">
                  <c:v>98948</c:v>
                </c:pt>
                <c:pt idx="230">
                  <c:v>-26559</c:v>
                </c:pt>
                <c:pt idx="231">
                  <c:v>67166</c:v>
                </c:pt>
                <c:pt idx="232">
                  <c:v>76823</c:v>
                </c:pt>
                <c:pt idx="233">
                  <c:v>119939</c:v>
                </c:pt>
                <c:pt idx="234">
                  <c:v>75757</c:v>
                </c:pt>
                <c:pt idx="235">
                  <c:v>114510</c:v>
                </c:pt>
                <c:pt idx="236">
                  <c:v>101427</c:v>
                </c:pt>
                <c:pt idx="237">
                  <c:v>42363</c:v>
                </c:pt>
                <c:pt idx="238">
                  <c:v>56525</c:v>
                </c:pt>
                <c:pt idx="239">
                  <c:v>10151</c:v>
                </c:pt>
                <c:pt idx="240">
                  <c:v>88625</c:v>
                </c:pt>
                <c:pt idx="241">
                  <c:v>174372</c:v>
                </c:pt>
                <c:pt idx="242">
                  <c:v>43488</c:v>
                </c:pt>
                <c:pt idx="243">
                  <c:v>80467</c:v>
                </c:pt>
                <c:pt idx="244">
                  <c:v>73795</c:v>
                </c:pt>
                <c:pt idx="245">
                  <c:v>77522</c:v>
                </c:pt>
                <c:pt idx="246">
                  <c:v>-11336</c:v>
                </c:pt>
                <c:pt idx="247">
                  <c:v>82478</c:v>
                </c:pt>
                <c:pt idx="248">
                  <c:v>76273</c:v>
                </c:pt>
                <c:pt idx="249">
                  <c:v>68602</c:v>
                </c:pt>
                <c:pt idx="250">
                  <c:v>25220</c:v>
                </c:pt>
                <c:pt idx="251">
                  <c:v>103609</c:v>
                </c:pt>
                <c:pt idx="252">
                  <c:v>164098</c:v>
                </c:pt>
                <c:pt idx="253">
                  <c:v>75891</c:v>
                </c:pt>
                <c:pt idx="254">
                  <c:v>21311</c:v>
                </c:pt>
                <c:pt idx="255">
                  <c:v>57557</c:v>
                </c:pt>
                <c:pt idx="256">
                  <c:v>166153</c:v>
                </c:pt>
                <c:pt idx="257">
                  <c:v>78312</c:v>
                </c:pt>
                <c:pt idx="258">
                  <c:v>226220</c:v>
                </c:pt>
                <c:pt idx="259">
                  <c:v>98532</c:v>
                </c:pt>
                <c:pt idx="260">
                  <c:v>159553</c:v>
                </c:pt>
                <c:pt idx="261">
                  <c:v>-11430</c:v>
                </c:pt>
                <c:pt idx="262">
                  <c:v>105853</c:v>
                </c:pt>
                <c:pt idx="263">
                  <c:v>60288</c:v>
                </c:pt>
                <c:pt idx="264">
                  <c:v>66602</c:v>
                </c:pt>
                <c:pt idx="265">
                  <c:v>93711</c:v>
                </c:pt>
                <c:pt idx="266">
                  <c:v>66588</c:v>
                </c:pt>
                <c:pt idx="267">
                  <c:v>54009</c:v>
                </c:pt>
                <c:pt idx="268">
                  <c:v>107315</c:v>
                </c:pt>
                <c:pt idx="269">
                  <c:v>130568</c:v>
                </c:pt>
                <c:pt idx="270">
                  <c:v>6022</c:v>
                </c:pt>
                <c:pt idx="271">
                  <c:v>86979</c:v>
                </c:pt>
                <c:pt idx="272">
                  <c:v>45582</c:v>
                </c:pt>
                <c:pt idx="273">
                  <c:v>133889</c:v>
                </c:pt>
                <c:pt idx="274">
                  <c:v>122755</c:v>
                </c:pt>
                <c:pt idx="275">
                  <c:v>149968</c:v>
                </c:pt>
                <c:pt idx="276">
                  <c:v>97153</c:v>
                </c:pt>
                <c:pt idx="277">
                  <c:v>22787</c:v>
                </c:pt>
                <c:pt idx="278">
                  <c:v>170841</c:v>
                </c:pt>
                <c:pt idx="279">
                  <c:v>45941</c:v>
                </c:pt>
                <c:pt idx="280">
                  <c:v>74393</c:v>
                </c:pt>
                <c:pt idx="281">
                  <c:v>114739</c:v>
                </c:pt>
                <c:pt idx="282">
                  <c:v>97895</c:v>
                </c:pt>
                <c:pt idx="283">
                  <c:v>26480</c:v>
                </c:pt>
                <c:pt idx="284">
                  <c:v>-39599</c:v>
                </c:pt>
                <c:pt idx="285">
                  <c:v>14642</c:v>
                </c:pt>
                <c:pt idx="286">
                  <c:v>114717</c:v>
                </c:pt>
                <c:pt idx="287">
                  <c:v>38831</c:v>
                </c:pt>
                <c:pt idx="288">
                  <c:v>64884</c:v>
                </c:pt>
                <c:pt idx="289">
                  <c:v>62759</c:v>
                </c:pt>
                <c:pt idx="290">
                  <c:v>108974</c:v>
                </c:pt>
                <c:pt idx="291">
                  <c:v>-18981</c:v>
                </c:pt>
                <c:pt idx="292">
                  <c:v>72089</c:v>
                </c:pt>
                <c:pt idx="293">
                  <c:v>139279</c:v>
                </c:pt>
                <c:pt idx="294">
                  <c:v>152846</c:v>
                </c:pt>
                <c:pt idx="295">
                  <c:v>-36979</c:v>
                </c:pt>
                <c:pt idx="296">
                  <c:v>109415</c:v>
                </c:pt>
                <c:pt idx="297">
                  <c:v>-3729</c:v>
                </c:pt>
                <c:pt idx="298">
                  <c:v>71754</c:v>
                </c:pt>
                <c:pt idx="299">
                  <c:v>108431</c:v>
                </c:pt>
                <c:pt idx="300">
                  <c:v>73988</c:v>
                </c:pt>
                <c:pt idx="301">
                  <c:v>142027</c:v>
                </c:pt>
                <c:pt idx="302">
                  <c:v>79824</c:v>
                </c:pt>
                <c:pt idx="303">
                  <c:v>23542</c:v>
                </c:pt>
                <c:pt idx="304">
                  <c:v>21250</c:v>
                </c:pt>
                <c:pt idx="305">
                  <c:v>149961</c:v>
                </c:pt>
                <c:pt idx="306">
                  <c:v>110452</c:v>
                </c:pt>
                <c:pt idx="307">
                  <c:v>77515</c:v>
                </c:pt>
                <c:pt idx="308">
                  <c:v>104035</c:v>
                </c:pt>
                <c:pt idx="309">
                  <c:v>36382</c:v>
                </c:pt>
                <c:pt idx="310">
                  <c:v>49298</c:v>
                </c:pt>
                <c:pt idx="311">
                  <c:v>161199</c:v>
                </c:pt>
                <c:pt idx="312">
                  <c:v>142965</c:v>
                </c:pt>
                <c:pt idx="313">
                  <c:v>44943</c:v>
                </c:pt>
                <c:pt idx="314">
                  <c:v>30023</c:v>
                </c:pt>
                <c:pt idx="315">
                  <c:v>157465</c:v>
                </c:pt>
                <c:pt idx="316">
                  <c:v>109425</c:v>
                </c:pt>
                <c:pt idx="317">
                  <c:v>-18637</c:v>
                </c:pt>
                <c:pt idx="318">
                  <c:v>101944</c:v>
                </c:pt>
                <c:pt idx="319">
                  <c:v>122855</c:v>
                </c:pt>
                <c:pt idx="320">
                  <c:v>81406</c:v>
                </c:pt>
                <c:pt idx="321">
                  <c:v>39442</c:v>
                </c:pt>
                <c:pt idx="322">
                  <c:v>8760</c:v>
                </c:pt>
                <c:pt idx="323">
                  <c:v>47301</c:v>
                </c:pt>
                <c:pt idx="324">
                  <c:v>38404</c:v>
                </c:pt>
                <c:pt idx="325">
                  <c:v>125203</c:v>
                </c:pt>
                <c:pt idx="326">
                  <c:v>101798</c:v>
                </c:pt>
                <c:pt idx="327">
                  <c:v>125398</c:v>
                </c:pt>
                <c:pt idx="328">
                  <c:v>130955</c:v>
                </c:pt>
                <c:pt idx="329">
                  <c:v>45715</c:v>
                </c:pt>
                <c:pt idx="330">
                  <c:v>39426</c:v>
                </c:pt>
                <c:pt idx="331">
                  <c:v>26767</c:v>
                </c:pt>
                <c:pt idx="332">
                  <c:v>131390</c:v>
                </c:pt>
                <c:pt idx="333">
                  <c:v>57564</c:v>
                </c:pt>
                <c:pt idx="334">
                  <c:v>51401</c:v>
                </c:pt>
                <c:pt idx="335">
                  <c:v>119222</c:v>
                </c:pt>
                <c:pt idx="336">
                  <c:v>107776</c:v>
                </c:pt>
                <c:pt idx="337">
                  <c:v>86154</c:v>
                </c:pt>
                <c:pt idx="338">
                  <c:v>-39543</c:v>
                </c:pt>
                <c:pt idx="339">
                  <c:v>188590</c:v>
                </c:pt>
                <c:pt idx="340">
                  <c:v>76599</c:v>
                </c:pt>
                <c:pt idx="341">
                  <c:v>34943</c:v>
                </c:pt>
                <c:pt idx="342">
                  <c:v>103071</c:v>
                </c:pt>
                <c:pt idx="343">
                  <c:v>95000</c:v>
                </c:pt>
                <c:pt idx="344">
                  <c:v>87547</c:v>
                </c:pt>
                <c:pt idx="345">
                  <c:v>51175</c:v>
                </c:pt>
                <c:pt idx="346">
                  <c:v>88254</c:v>
                </c:pt>
                <c:pt idx="347">
                  <c:v>86162</c:v>
                </c:pt>
                <c:pt idx="348">
                  <c:v>153914</c:v>
                </c:pt>
                <c:pt idx="349">
                  <c:v>32094</c:v>
                </c:pt>
                <c:pt idx="350">
                  <c:v>50426</c:v>
                </c:pt>
                <c:pt idx="351">
                  <c:v>-51067</c:v>
                </c:pt>
                <c:pt idx="352">
                  <c:v>107087</c:v>
                </c:pt>
                <c:pt idx="353">
                  <c:v>41753</c:v>
                </c:pt>
                <c:pt idx="354">
                  <c:v>55351</c:v>
                </c:pt>
                <c:pt idx="355">
                  <c:v>71600</c:v>
                </c:pt>
                <c:pt idx="356">
                  <c:v>120284</c:v>
                </c:pt>
                <c:pt idx="357">
                  <c:v>58184</c:v>
                </c:pt>
                <c:pt idx="358">
                  <c:v>75190</c:v>
                </c:pt>
                <c:pt idx="359">
                  <c:v>101026</c:v>
                </c:pt>
                <c:pt idx="360">
                  <c:v>173075</c:v>
                </c:pt>
                <c:pt idx="361">
                  <c:v>74143</c:v>
                </c:pt>
                <c:pt idx="362">
                  <c:v>845</c:v>
                </c:pt>
                <c:pt idx="363">
                  <c:v>198851</c:v>
                </c:pt>
                <c:pt idx="364">
                  <c:v>155892</c:v>
                </c:pt>
                <c:pt idx="365">
                  <c:v>127856</c:v>
                </c:pt>
                <c:pt idx="366">
                  <c:v>114767</c:v>
                </c:pt>
                <c:pt idx="367">
                  <c:v>14876</c:v>
                </c:pt>
                <c:pt idx="368">
                  <c:v>162059</c:v>
                </c:pt>
                <c:pt idx="369">
                  <c:v>31648</c:v>
                </c:pt>
                <c:pt idx="370">
                  <c:v>46155</c:v>
                </c:pt>
                <c:pt idx="371">
                  <c:v>13339</c:v>
                </c:pt>
                <c:pt idx="372">
                  <c:v>-20435</c:v>
                </c:pt>
                <c:pt idx="373">
                  <c:v>31801</c:v>
                </c:pt>
                <c:pt idx="374">
                  <c:v>114451</c:v>
                </c:pt>
                <c:pt idx="375">
                  <c:v>13335</c:v>
                </c:pt>
                <c:pt idx="376">
                  <c:v>88560</c:v>
                </c:pt>
                <c:pt idx="377">
                  <c:v>164798</c:v>
                </c:pt>
                <c:pt idx="378">
                  <c:v>40064</c:v>
                </c:pt>
                <c:pt idx="379">
                  <c:v>37553</c:v>
                </c:pt>
                <c:pt idx="380">
                  <c:v>8771</c:v>
                </c:pt>
                <c:pt idx="381">
                  <c:v>112599</c:v>
                </c:pt>
                <c:pt idx="382">
                  <c:v>166869</c:v>
                </c:pt>
                <c:pt idx="383">
                  <c:v>11371</c:v>
                </c:pt>
                <c:pt idx="384">
                  <c:v>89989</c:v>
                </c:pt>
                <c:pt idx="385">
                  <c:v>117118</c:v>
                </c:pt>
                <c:pt idx="386">
                  <c:v>86210</c:v>
                </c:pt>
                <c:pt idx="387">
                  <c:v>44179</c:v>
                </c:pt>
                <c:pt idx="388">
                  <c:v>-63786</c:v>
                </c:pt>
                <c:pt idx="389">
                  <c:v>197067</c:v>
                </c:pt>
                <c:pt idx="390">
                  <c:v>79230</c:v>
                </c:pt>
                <c:pt idx="391">
                  <c:v>181857</c:v>
                </c:pt>
                <c:pt idx="392">
                  <c:v>76531</c:v>
                </c:pt>
                <c:pt idx="393">
                  <c:v>125909</c:v>
                </c:pt>
                <c:pt idx="394">
                  <c:v>188300</c:v>
                </c:pt>
                <c:pt idx="395">
                  <c:v>58044</c:v>
                </c:pt>
                <c:pt idx="396">
                  <c:v>123402</c:v>
                </c:pt>
                <c:pt idx="397">
                  <c:v>41616</c:v>
                </c:pt>
                <c:pt idx="398">
                  <c:v>41325</c:v>
                </c:pt>
                <c:pt idx="399">
                  <c:v>121361</c:v>
                </c:pt>
                <c:pt idx="400">
                  <c:v>53298</c:v>
                </c:pt>
                <c:pt idx="401">
                  <c:v>98334</c:v>
                </c:pt>
                <c:pt idx="402">
                  <c:v>24047</c:v>
                </c:pt>
                <c:pt idx="403">
                  <c:v>16607</c:v>
                </c:pt>
                <c:pt idx="404">
                  <c:v>-42946</c:v>
                </c:pt>
                <c:pt idx="405">
                  <c:v>-60212</c:v>
                </c:pt>
                <c:pt idx="406">
                  <c:v>120195</c:v>
                </c:pt>
                <c:pt idx="407">
                  <c:v>19924</c:v>
                </c:pt>
                <c:pt idx="408">
                  <c:v>97105</c:v>
                </c:pt>
                <c:pt idx="409">
                  <c:v>-7359</c:v>
                </c:pt>
                <c:pt idx="410">
                  <c:v>89321</c:v>
                </c:pt>
                <c:pt idx="411">
                  <c:v>48403</c:v>
                </c:pt>
                <c:pt idx="412">
                  <c:v>-56495</c:v>
                </c:pt>
                <c:pt idx="413">
                  <c:v>152016</c:v>
                </c:pt>
                <c:pt idx="414">
                  <c:v>61076</c:v>
                </c:pt>
                <c:pt idx="415">
                  <c:v>132743</c:v>
                </c:pt>
                <c:pt idx="416">
                  <c:v>95078</c:v>
                </c:pt>
                <c:pt idx="417">
                  <c:v>141613</c:v>
                </c:pt>
                <c:pt idx="418">
                  <c:v>181477</c:v>
                </c:pt>
                <c:pt idx="419">
                  <c:v>154187</c:v>
                </c:pt>
                <c:pt idx="420">
                  <c:v>-4202</c:v>
                </c:pt>
                <c:pt idx="421">
                  <c:v>96450</c:v>
                </c:pt>
                <c:pt idx="422">
                  <c:v>-12252</c:v>
                </c:pt>
                <c:pt idx="423">
                  <c:v>10226</c:v>
                </c:pt>
                <c:pt idx="424">
                  <c:v>115495</c:v>
                </c:pt>
                <c:pt idx="425">
                  <c:v>40780</c:v>
                </c:pt>
                <c:pt idx="426">
                  <c:v>136450</c:v>
                </c:pt>
                <c:pt idx="427">
                  <c:v>185707</c:v>
                </c:pt>
                <c:pt idx="428">
                  <c:v>-6467</c:v>
                </c:pt>
                <c:pt idx="429">
                  <c:v>134124</c:v>
                </c:pt>
                <c:pt idx="430">
                  <c:v>92922</c:v>
                </c:pt>
                <c:pt idx="431">
                  <c:v>73405</c:v>
                </c:pt>
                <c:pt idx="432">
                  <c:v>205295</c:v>
                </c:pt>
                <c:pt idx="433">
                  <c:v>37440</c:v>
                </c:pt>
                <c:pt idx="434">
                  <c:v>140535</c:v>
                </c:pt>
                <c:pt idx="435">
                  <c:v>198803</c:v>
                </c:pt>
                <c:pt idx="436">
                  <c:v>13927</c:v>
                </c:pt>
                <c:pt idx="437">
                  <c:v>80480</c:v>
                </c:pt>
                <c:pt idx="438">
                  <c:v>117549</c:v>
                </c:pt>
                <c:pt idx="439">
                  <c:v>110830</c:v>
                </c:pt>
                <c:pt idx="440">
                  <c:v>10289</c:v>
                </c:pt>
                <c:pt idx="441">
                  <c:v>-11963</c:v>
                </c:pt>
                <c:pt idx="442">
                  <c:v>153724</c:v>
                </c:pt>
                <c:pt idx="443">
                  <c:v>84748</c:v>
                </c:pt>
                <c:pt idx="444">
                  <c:v>52958</c:v>
                </c:pt>
                <c:pt idx="445">
                  <c:v>144151</c:v>
                </c:pt>
                <c:pt idx="446">
                  <c:v>110499</c:v>
                </c:pt>
                <c:pt idx="447">
                  <c:v>110979</c:v>
                </c:pt>
                <c:pt idx="448">
                  <c:v>58213</c:v>
                </c:pt>
                <c:pt idx="449">
                  <c:v>171050</c:v>
                </c:pt>
                <c:pt idx="450">
                  <c:v>71380</c:v>
                </c:pt>
                <c:pt idx="451">
                  <c:v>43952</c:v>
                </c:pt>
                <c:pt idx="452">
                  <c:v>22248</c:v>
                </c:pt>
                <c:pt idx="453">
                  <c:v>65438</c:v>
                </c:pt>
                <c:pt idx="454">
                  <c:v>70636</c:v>
                </c:pt>
                <c:pt idx="455">
                  <c:v>62953</c:v>
                </c:pt>
                <c:pt idx="456">
                  <c:v>114700</c:v>
                </c:pt>
                <c:pt idx="457">
                  <c:v>19058</c:v>
                </c:pt>
                <c:pt idx="458">
                  <c:v>36826</c:v>
                </c:pt>
                <c:pt idx="459">
                  <c:v>65360</c:v>
                </c:pt>
                <c:pt idx="460">
                  <c:v>7814</c:v>
                </c:pt>
                <c:pt idx="461">
                  <c:v>244145</c:v>
                </c:pt>
                <c:pt idx="462">
                  <c:v>129346</c:v>
                </c:pt>
                <c:pt idx="463">
                  <c:v>55559</c:v>
                </c:pt>
                <c:pt idx="464">
                  <c:v>127854</c:v>
                </c:pt>
                <c:pt idx="465">
                  <c:v>35765</c:v>
                </c:pt>
                <c:pt idx="466">
                  <c:v>78623</c:v>
                </c:pt>
                <c:pt idx="467">
                  <c:v>204217</c:v>
                </c:pt>
                <c:pt idx="468">
                  <c:v>133368</c:v>
                </c:pt>
                <c:pt idx="469">
                  <c:v>95856</c:v>
                </c:pt>
                <c:pt idx="470">
                  <c:v>35454</c:v>
                </c:pt>
                <c:pt idx="471">
                  <c:v>-46808</c:v>
                </c:pt>
                <c:pt idx="472">
                  <c:v>158715</c:v>
                </c:pt>
                <c:pt idx="473">
                  <c:v>155217</c:v>
                </c:pt>
                <c:pt idx="474">
                  <c:v>163543</c:v>
                </c:pt>
                <c:pt idx="475">
                  <c:v>188790</c:v>
                </c:pt>
                <c:pt idx="476">
                  <c:v>143913</c:v>
                </c:pt>
                <c:pt idx="477">
                  <c:v>97564</c:v>
                </c:pt>
                <c:pt idx="478">
                  <c:v>48367</c:v>
                </c:pt>
                <c:pt idx="479">
                  <c:v>99261</c:v>
                </c:pt>
                <c:pt idx="480">
                  <c:v>70453</c:v>
                </c:pt>
                <c:pt idx="481">
                  <c:v>102136</c:v>
                </c:pt>
                <c:pt idx="482">
                  <c:v>-1583</c:v>
                </c:pt>
                <c:pt idx="483">
                  <c:v>227738</c:v>
                </c:pt>
                <c:pt idx="484">
                  <c:v>96008</c:v>
                </c:pt>
                <c:pt idx="485">
                  <c:v>136942</c:v>
                </c:pt>
                <c:pt idx="486">
                  <c:v>91151</c:v>
                </c:pt>
                <c:pt idx="487">
                  <c:v>-10897</c:v>
                </c:pt>
                <c:pt idx="488">
                  <c:v>116118</c:v>
                </c:pt>
                <c:pt idx="489">
                  <c:v>978</c:v>
                </c:pt>
                <c:pt idx="490">
                  <c:v>61476</c:v>
                </c:pt>
                <c:pt idx="491">
                  <c:v>109517</c:v>
                </c:pt>
                <c:pt idx="492">
                  <c:v>11710</c:v>
                </c:pt>
                <c:pt idx="493">
                  <c:v>17792</c:v>
                </c:pt>
                <c:pt idx="494">
                  <c:v>-15279</c:v>
                </c:pt>
                <c:pt idx="495">
                  <c:v>203591</c:v>
                </c:pt>
                <c:pt idx="496">
                  <c:v>222698</c:v>
                </c:pt>
                <c:pt idx="497">
                  <c:v>106932</c:v>
                </c:pt>
              </c:numCache>
            </c:numRef>
          </c:yVal>
          <c:smooth val="0"/>
          <c:extLst>
            <c:ext xmlns:c16="http://schemas.microsoft.com/office/drawing/2014/chart" uri="{C3380CC4-5D6E-409C-BE32-E72D297353CC}">
              <c16:uniqueId val="{00000000-F9D9-4F33-AA11-ED76A20614D9}"/>
            </c:ext>
          </c:extLst>
        </c:ser>
        <c:dLbls>
          <c:showLegendKey val="0"/>
          <c:showVal val="0"/>
          <c:showCatName val="0"/>
          <c:showSerName val="0"/>
          <c:showPercent val="0"/>
          <c:showBubbleSize val="0"/>
        </c:dLbls>
        <c:axId val="1449789471"/>
        <c:axId val="1449790911"/>
      </c:scatterChart>
      <c:valAx>
        <c:axId val="1449789471"/>
        <c:scaling>
          <c:orientation val="minMax"/>
          <c:min val="2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9790911"/>
        <c:crosses val="autoZero"/>
        <c:crossBetween val="midCat"/>
      </c:valAx>
      <c:valAx>
        <c:axId val="144979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9789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693420</xdr:colOff>
      <xdr:row>33</xdr:row>
      <xdr:rowOff>144780</xdr:rowOff>
    </xdr:from>
    <xdr:to>
      <xdr:col>6</xdr:col>
      <xdr:colOff>129540</xdr:colOff>
      <xdr:row>49</xdr:row>
      <xdr:rowOff>106680</xdr:rowOff>
    </xdr:to>
    <xdr:graphicFrame macro="">
      <xdr:nvGraphicFramePr>
        <xdr:cNvPr id="3" name="Chart 4">
          <a:extLst>
            <a:ext uri="{FF2B5EF4-FFF2-40B4-BE49-F238E27FC236}">
              <a16:creationId xmlns:a16="http://schemas.microsoft.com/office/drawing/2014/main" id="{4759CDAE-27C5-9AC5-21A8-A01A839AB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716280</xdr:colOff>
      <xdr:row>49</xdr:row>
      <xdr:rowOff>156210</xdr:rowOff>
    </xdr:from>
    <xdr:to>
      <xdr:col>6</xdr:col>
      <xdr:colOff>129540</xdr:colOff>
      <xdr:row>64</xdr:row>
      <xdr:rowOff>156210</xdr:rowOff>
    </xdr:to>
    <xdr:graphicFrame macro="">
      <xdr:nvGraphicFramePr>
        <xdr:cNvPr id="7" name="Chart 5">
          <a:extLst>
            <a:ext uri="{FF2B5EF4-FFF2-40B4-BE49-F238E27FC236}">
              <a16:creationId xmlns:a16="http://schemas.microsoft.com/office/drawing/2014/main" id="{ABFC2D03-6FEC-5779-1BF9-8F77A263B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716280</xdr:colOff>
      <xdr:row>65</xdr:row>
      <xdr:rowOff>3810</xdr:rowOff>
    </xdr:from>
    <xdr:to>
      <xdr:col>6</xdr:col>
      <xdr:colOff>137160</xdr:colOff>
      <xdr:row>80</xdr:row>
      <xdr:rowOff>3810</xdr:rowOff>
    </xdr:to>
    <xdr:graphicFrame macro="">
      <xdr:nvGraphicFramePr>
        <xdr:cNvPr id="8" name="Chart 7">
          <a:extLst>
            <a:ext uri="{FF2B5EF4-FFF2-40B4-BE49-F238E27FC236}">
              <a16:creationId xmlns:a16="http://schemas.microsoft.com/office/drawing/2014/main" id="{4F4B6BED-A228-F9F6-9AAA-DF4FA8E3A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xdr:colOff>
      <xdr:row>15</xdr:row>
      <xdr:rowOff>34290</xdr:rowOff>
    </xdr:from>
    <xdr:to>
      <xdr:col>5</xdr:col>
      <xdr:colOff>1242060</xdr:colOff>
      <xdr:row>30</xdr:row>
      <xdr:rowOff>34290</xdr:rowOff>
    </xdr:to>
    <xdr:graphicFrame macro="">
      <xdr:nvGraphicFramePr>
        <xdr:cNvPr id="9" name="Chart 8">
          <a:extLst>
            <a:ext uri="{FF2B5EF4-FFF2-40B4-BE49-F238E27FC236}">
              <a16:creationId xmlns:a16="http://schemas.microsoft.com/office/drawing/2014/main" id="{1531FBDA-C57C-5622-EE42-1E866BE23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60960</xdr:colOff>
      <xdr:row>0</xdr:row>
      <xdr:rowOff>0</xdr:rowOff>
    </xdr:from>
    <xdr:to>
      <xdr:col>5</xdr:col>
      <xdr:colOff>1028700</xdr:colOff>
      <xdr:row>14</xdr:row>
      <xdr:rowOff>106680</xdr:rowOff>
    </xdr:to>
    <xdr:graphicFrame macro="">
      <xdr:nvGraphicFramePr>
        <xdr:cNvPr id="10" name="Chart 1">
          <a:extLst>
            <a:ext uri="{FF2B5EF4-FFF2-40B4-BE49-F238E27FC236}">
              <a16:creationId xmlns:a16="http://schemas.microsoft.com/office/drawing/2014/main" id="{EB087B3B-51FC-498A-96FC-8AF006366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190500</xdr:colOff>
      <xdr:row>49</xdr:row>
      <xdr:rowOff>53340</xdr:rowOff>
    </xdr:from>
    <xdr:to>
      <xdr:col>9</xdr:col>
      <xdr:colOff>190500</xdr:colOff>
      <xdr:row>58</xdr:row>
      <xdr:rowOff>114299</xdr:rowOff>
    </xdr:to>
    <mc:AlternateContent xmlns:mc="http://schemas.openxmlformats.org/markup-compatibility/2006" xmlns:a14="http://schemas.microsoft.com/office/drawing/2010/main">
      <mc:Choice Requires="a14">
        <xdr:graphicFrame macro="">
          <xdr:nvGraphicFramePr>
            <xdr:cNvPr id="11" name="Bank_Name">
              <a:extLst>
                <a:ext uri="{FF2B5EF4-FFF2-40B4-BE49-F238E27FC236}">
                  <a16:creationId xmlns:a16="http://schemas.microsoft.com/office/drawing/2014/main" id="{1DABE18F-6D99-4F85-04E9-342542B9C21C}"/>
                </a:ext>
              </a:extLst>
            </xdr:cNvPr>
            <xdr:cNvGraphicFramePr/>
          </xdr:nvGraphicFramePr>
          <xdr:xfrm>
            <a:off x="0" y="0"/>
            <a:ext cx="0" cy="0"/>
          </xdr:xfrm>
          <a:graphic>
            <a:graphicData uri="http://schemas.microsoft.com/office/drawing/2010/slicer">
              <sle:slicer xmlns:sle="http://schemas.microsoft.com/office/drawing/2010/slicer" name="Bank_Name"/>
            </a:graphicData>
          </a:graphic>
        </xdr:graphicFrame>
      </mc:Choice>
      <mc:Fallback xmlns="">
        <xdr:sp macro="" textlink="">
          <xdr:nvSpPr>
            <xdr:cNvPr id="0" name=""/>
            <xdr:cNvSpPr>
              <a:spLocks noTextEdit="1"/>
            </xdr:cNvSpPr>
          </xdr:nvSpPr>
          <xdr:spPr>
            <a:xfrm>
              <a:off x="7665720" y="9014460"/>
              <a:ext cx="18288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49</xdr:row>
      <xdr:rowOff>38101</xdr:rowOff>
    </xdr:from>
    <xdr:to>
      <xdr:col>11</xdr:col>
      <xdr:colOff>0</xdr:colOff>
      <xdr:row>58</xdr:row>
      <xdr:rowOff>106681</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4E8AC0F9-3E1E-F229-3474-EC2E190EDA7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17380" y="899922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38100</xdr:rowOff>
    </xdr:from>
    <xdr:to>
      <xdr:col>23</xdr:col>
      <xdr:colOff>129540</xdr:colOff>
      <xdr:row>36</xdr:row>
      <xdr:rowOff>129540</xdr:rowOff>
    </xdr:to>
    <xdr:sp macro="" textlink="">
      <xdr:nvSpPr>
        <xdr:cNvPr id="2" name="Rectangle 1">
          <a:extLst>
            <a:ext uri="{FF2B5EF4-FFF2-40B4-BE49-F238E27FC236}">
              <a16:creationId xmlns:a16="http://schemas.microsoft.com/office/drawing/2014/main" id="{232EE66F-E655-A494-3E1C-7241A714F89F}"/>
            </a:ext>
          </a:extLst>
        </xdr:cNvPr>
        <xdr:cNvSpPr/>
      </xdr:nvSpPr>
      <xdr:spPr>
        <a:xfrm>
          <a:off x="7620" y="38100"/>
          <a:ext cx="14142720" cy="667512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15240</xdr:colOff>
      <xdr:row>0</xdr:row>
      <xdr:rowOff>60960</xdr:rowOff>
    </xdr:from>
    <xdr:to>
      <xdr:col>3</xdr:col>
      <xdr:colOff>30480</xdr:colOff>
      <xdr:row>8</xdr:row>
      <xdr:rowOff>129540</xdr:rowOff>
    </xdr:to>
    <xdr:sp macro="" textlink="">
      <xdr:nvSpPr>
        <xdr:cNvPr id="3" name="Rectangle 2">
          <a:extLst>
            <a:ext uri="{FF2B5EF4-FFF2-40B4-BE49-F238E27FC236}">
              <a16:creationId xmlns:a16="http://schemas.microsoft.com/office/drawing/2014/main" id="{F92D6DB1-4236-D2B0-5D9F-74F79D072E3C}"/>
            </a:ext>
          </a:extLst>
        </xdr:cNvPr>
        <xdr:cNvSpPr/>
      </xdr:nvSpPr>
      <xdr:spPr>
        <a:xfrm>
          <a:off x="15240" y="60960"/>
          <a:ext cx="1844040" cy="153162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205740</xdr:colOff>
      <xdr:row>22</xdr:row>
      <xdr:rowOff>137160</xdr:rowOff>
    </xdr:from>
    <xdr:to>
      <xdr:col>23</xdr:col>
      <xdr:colOff>114300</xdr:colOff>
      <xdr:row>36</xdr:row>
      <xdr:rowOff>106680</xdr:rowOff>
    </xdr:to>
    <xdr:sp macro="" textlink="">
      <xdr:nvSpPr>
        <xdr:cNvPr id="6" name="Rectangle 5">
          <a:extLst>
            <a:ext uri="{FF2B5EF4-FFF2-40B4-BE49-F238E27FC236}">
              <a16:creationId xmlns:a16="http://schemas.microsoft.com/office/drawing/2014/main" id="{BA3B9242-FD8B-4348-9407-8E5F7CE27B29}"/>
            </a:ext>
          </a:extLst>
        </xdr:cNvPr>
        <xdr:cNvSpPr/>
      </xdr:nvSpPr>
      <xdr:spPr>
        <a:xfrm>
          <a:off x="10568940" y="4160520"/>
          <a:ext cx="3566160" cy="252984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205740</xdr:colOff>
      <xdr:row>8</xdr:row>
      <xdr:rowOff>152400</xdr:rowOff>
    </xdr:from>
    <xdr:to>
      <xdr:col>23</xdr:col>
      <xdr:colOff>129540</xdr:colOff>
      <xdr:row>22</xdr:row>
      <xdr:rowOff>114300</xdr:rowOff>
    </xdr:to>
    <xdr:sp macro="" textlink="">
      <xdr:nvSpPr>
        <xdr:cNvPr id="13" name="Rectangle 12">
          <a:extLst>
            <a:ext uri="{FF2B5EF4-FFF2-40B4-BE49-F238E27FC236}">
              <a16:creationId xmlns:a16="http://schemas.microsoft.com/office/drawing/2014/main" id="{B0621F78-C28D-4197-BFC0-6CAE4FAE6520}"/>
            </a:ext>
          </a:extLst>
        </xdr:cNvPr>
        <xdr:cNvSpPr/>
      </xdr:nvSpPr>
      <xdr:spPr>
        <a:xfrm>
          <a:off x="10568940" y="1615440"/>
          <a:ext cx="3581400" cy="252222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114300</xdr:colOff>
      <xdr:row>8</xdr:row>
      <xdr:rowOff>144780</xdr:rowOff>
    </xdr:from>
    <xdr:to>
      <xdr:col>17</xdr:col>
      <xdr:colOff>198120</xdr:colOff>
      <xdr:row>22</xdr:row>
      <xdr:rowOff>129540</xdr:rowOff>
    </xdr:to>
    <xdr:sp macro="" textlink="">
      <xdr:nvSpPr>
        <xdr:cNvPr id="14" name="Rectangle 13">
          <a:extLst>
            <a:ext uri="{FF2B5EF4-FFF2-40B4-BE49-F238E27FC236}">
              <a16:creationId xmlns:a16="http://schemas.microsoft.com/office/drawing/2014/main" id="{45FF17EA-2F87-4007-ADE9-88498EFD32A3}"/>
            </a:ext>
          </a:extLst>
        </xdr:cNvPr>
        <xdr:cNvSpPr/>
      </xdr:nvSpPr>
      <xdr:spPr>
        <a:xfrm>
          <a:off x="6819900" y="1607820"/>
          <a:ext cx="3741420" cy="254508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106680</xdr:colOff>
      <xdr:row>22</xdr:row>
      <xdr:rowOff>137160</xdr:rowOff>
    </xdr:from>
    <xdr:to>
      <xdr:col>17</xdr:col>
      <xdr:colOff>190500</xdr:colOff>
      <xdr:row>36</xdr:row>
      <xdr:rowOff>106680</xdr:rowOff>
    </xdr:to>
    <xdr:sp macro="" textlink="">
      <xdr:nvSpPr>
        <xdr:cNvPr id="15" name="Rectangle 14">
          <a:extLst>
            <a:ext uri="{FF2B5EF4-FFF2-40B4-BE49-F238E27FC236}">
              <a16:creationId xmlns:a16="http://schemas.microsoft.com/office/drawing/2014/main" id="{60C81705-9CCB-4383-AF76-668C201175B1}"/>
            </a:ext>
          </a:extLst>
        </xdr:cNvPr>
        <xdr:cNvSpPr/>
      </xdr:nvSpPr>
      <xdr:spPr>
        <a:xfrm>
          <a:off x="6812280" y="4160520"/>
          <a:ext cx="3741420" cy="252984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228600</xdr:colOff>
      <xdr:row>22</xdr:row>
      <xdr:rowOff>152400</xdr:rowOff>
    </xdr:from>
    <xdr:to>
      <xdr:col>11</xdr:col>
      <xdr:colOff>91440</xdr:colOff>
      <xdr:row>36</xdr:row>
      <xdr:rowOff>129540</xdr:rowOff>
    </xdr:to>
    <xdr:sp macro="" textlink="">
      <xdr:nvSpPr>
        <xdr:cNvPr id="16" name="Rectangle 15">
          <a:extLst>
            <a:ext uri="{FF2B5EF4-FFF2-40B4-BE49-F238E27FC236}">
              <a16:creationId xmlns:a16="http://schemas.microsoft.com/office/drawing/2014/main" id="{7AEFDC5D-F5A7-46DD-90E1-36EC92738F3B}"/>
            </a:ext>
          </a:extLst>
        </xdr:cNvPr>
        <xdr:cNvSpPr/>
      </xdr:nvSpPr>
      <xdr:spPr>
        <a:xfrm>
          <a:off x="3276600" y="4175760"/>
          <a:ext cx="3520440" cy="253746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22</xdr:row>
      <xdr:rowOff>137160</xdr:rowOff>
    </xdr:from>
    <xdr:to>
      <xdr:col>5</xdr:col>
      <xdr:colOff>205740</xdr:colOff>
      <xdr:row>36</xdr:row>
      <xdr:rowOff>106680</xdr:rowOff>
    </xdr:to>
    <xdr:sp macro="" textlink="">
      <xdr:nvSpPr>
        <xdr:cNvPr id="17" name="Rectangle 16">
          <a:extLst>
            <a:ext uri="{FF2B5EF4-FFF2-40B4-BE49-F238E27FC236}">
              <a16:creationId xmlns:a16="http://schemas.microsoft.com/office/drawing/2014/main" id="{CE1843DA-7737-4E21-9D11-36C026B0FB4D}"/>
            </a:ext>
          </a:extLst>
        </xdr:cNvPr>
        <xdr:cNvSpPr/>
      </xdr:nvSpPr>
      <xdr:spPr>
        <a:xfrm>
          <a:off x="7620" y="4160520"/>
          <a:ext cx="3246120" cy="252984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236220</xdr:colOff>
      <xdr:row>8</xdr:row>
      <xdr:rowOff>144780</xdr:rowOff>
    </xdr:from>
    <xdr:to>
      <xdr:col>11</xdr:col>
      <xdr:colOff>91440</xdr:colOff>
      <xdr:row>22</xdr:row>
      <xdr:rowOff>137160</xdr:rowOff>
    </xdr:to>
    <xdr:sp macro="" textlink="">
      <xdr:nvSpPr>
        <xdr:cNvPr id="18" name="Rectangle 17">
          <a:extLst>
            <a:ext uri="{FF2B5EF4-FFF2-40B4-BE49-F238E27FC236}">
              <a16:creationId xmlns:a16="http://schemas.microsoft.com/office/drawing/2014/main" id="{17119979-A8FE-4794-A2F0-BF27CC25A844}"/>
            </a:ext>
          </a:extLst>
        </xdr:cNvPr>
        <xdr:cNvSpPr/>
      </xdr:nvSpPr>
      <xdr:spPr>
        <a:xfrm>
          <a:off x="3284220" y="1607820"/>
          <a:ext cx="3512820" cy="25527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8</xdr:row>
      <xdr:rowOff>144780</xdr:rowOff>
    </xdr:from>
    <xdr:to>
      <xdr:col>5</xdr:col>
      <xdr:colOff>220980</xdr:colOff>
      <xdr:row>22</xdr:row>
      <xdr:rowOff>129540</xdr:rowOff>
    </xdr:to>
    <xdr:sp macro="" textlink="">
      <xdr:nvSpPr>
        <xdr:cNvPr id="19" name="Rectangle 18">
          <a:extLst>
            <a:ext uri="{FF2B5EF4-FFF2-40B4-BE49-F238E27FC236}">
              <a16:creationId xmlns:a16="http://schemas.microsoft.com/office/drawing/2014/main" id="{5E9FDEFD-0452-4383-848E-5E35EE2F5647}"/>
            </a:ext>
          </a:extLst>
        </xdr:cNvPr>
        <xdr:cNvSpPr/>
      </xdr:nvSpPr>
      <xdr:spPr>
        <a:xfrm>
          <a:off x="15240" y="1607820"/>
          <a:ext cx="3253740" cy="254508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xdr:colOff>
      <xdr:row>0</xdr:row>
      <xdr:rowOff>45720</xdr:rowOff>
    </xdr:from>
    <xdr:to>
      <xdr:col>6</xdr:col>
      <xdr:colOff>38100</xdr:colOff>
      <xdr:row>8</xdr:row>
      <xdr:rowOff>121920</xdr:rowOff>
    </xdr:to>
    <xdr:sp macro="" textlink="">
      <xdr:nvSpPr>
        <xdr:cNvPr id="21" name="Rectangle 20">
          <a:extLst>
            <a:ext uri="{FF2B5EF4-FFF2-40B4-BE49-F238E27FC236}">
              <a16:creationId xmlns:a16="http://schemas.microsoft.com/office/drawing/2014/main" id="{82C835CF-719B-4491-994D-DE0BB2F80F3E}"/>
            </a:ext>
          </a:extLst>
        </xdr:cNvPr>
        <xdr:cNvSpPr/>
      </xdr:nvSpPr>
      <xdr:spPr>
        <a:xfrm>
          <a:off x="1882140" y="45720"/>
          <a:ext cx="1813560" cy="153924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xdr:colOff>
      <xdr:row>0</xdr:row>
      <xdr:rowOff>38100</xdr:rowOff>
    </xdr:from>
    <xdr:to>
      <xdr:col>23</xdr:col>
      <xdr:colOff>129540</xdr:colOff>
      <xdr:row>3</xdr:row>
      <xdr:rowOff>121920</xdr:rowOff>
    </xdr:to>
    <xdr:sp macro="" textlink="">
      <xdr:nvSpPr>
        <xdr:cNvPr id="26" name="Rectangle 25">
          <a:extLst>
            <a:ext uri="{FF2B5EF4-FFF2-40B4-BE49-F238E27FC236}">
              <a16:creationId xmlns:a16="http://schemas.microsoft.com/office/drawing/2014/main" id="{BAA6BC9B-CCD4-58E4-DD5D-D117E4004F9B}"/>
            </a:ext>
          </a:extLst>
        </xdr:cNvPr>
        <xdr:cNvSpPr/>
      </xdr:nvSpPr>
      <xdr:spPr>
        <a:xfrm>
          <a:off x="3695700" y="38100"/>
          <a:ext cx="10454640" cy="63246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236220</xdr:colOff>
      <xdr:row>9</xdr:row>
      <xdr:rowOff>0</xdr:rowOff>
    </xdr:from>
    <xdr:to>
      <xdr:col>23</xdr:col>
      <xdr:colOff>114300</xdr:colOff>
      <xdr:row>22</xdr:row>
      <xdr:rowOff>91440</xdr:rowOff>
    </xdr:to>
    <xdr:graphicFrame macro="">
      <xdr:nvGraphicFramePr>
        <xdr:cNvPr id="33" name="Chart 5">
          <a:extLst>
            <a:ext uri="{FF2B5EF4-FFF2-40B4-BE49-F238E27FC236}">
              <a16:creationId xmlns:a16="http://schemas.microsoft.com/office/drawing/2014/main" id="{E2A86E34-30F1-4B89-80EA-9EAD704E3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121920</xdr:colOff>
      <xdr:row>0</xdr:row>
      <xdr:rowOff>106680</xdr:rowOff>
    </xdr:from>
    <xdr:to>
      <xdr:col>23</xdr:col>
      <xdr:colOff>68580</xdr:colOff>
      <xdr:row>3</xdr:row>
      <xdr:rowOff>76200</xdr:rowOff>
    </xdr:to>
    <xdr:sp macro="" textlink="">
      <xdr:nvSpPr>
        <xdr:cNvPr id="11" name="TextBox 10">
          <a:extLst>
            <a:ext uri="{FF2B5EF4-FFF2-40B4-BE49-F238E27FC236}">
              <a16:creationId xmlns:a16="http://schemas.microsoft.com/office/drawing/2014/main" id="{C9C4D763-4F2A-F75D-2357-9C1A63373E94}"/>
            </a:ext>
          </a:extLst>
        </xdr:cNvPr>
        <xdr:cNvSpPr txBox="1"/>
      </xdr:nvSpPr>
      <xdr:spPr>
        <a:xfrm>
          <a:off x="3779520" y="106680"/>
          <a:ext cx="1030986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7030A0"/>
              </a:solidFill>
            </a:rPr>
            <a:t>A Comparative Analysis of Profitability and Efficiency in Nigerian Banks (2020-2024)</a:t>
          </a:r>
        </a:p>
      </xdr:txBody>
    </xdr:sp>
    <xdr:clientData/>
  </xdr:twoCellAnchor>
  <xdr:twoCellAnchor>
    <xdr:from>
      <xdr:col>17</xdr:col>
      <xdr:colOff>83820</xdr:colOff>
      <xdr:row>3</xdr:row>
      <xdr:rowOff>137160</xdr:rowOff>
    </xdr:from>
    <xdr:to>
      <xdr:col>20</xdr:col>
      <xdr:colOff>91440</xdr:colOff>
      <xdr:row>8</xdr:row>
      <xdr:rowOff>137160</xdr:rowOff>
    </xdr:to>
    <xdr:sp macro="" textlink="">
      <xdr:nvSpPr>
        <xdr:cNvPr id="31" name="Rectangle 30">
          <a:extLst>
            <a:ext uri="{FF2B5EF4-FFF2-40B4-BE49-F238E27FC236}">
              <a16:creationId xmlns:a16="http://schemas.microsoft.com/office/drawing/2014/main" id="{0E0A84F1-D7E7-4D54-93B3-D029931B2CE6}"/>
            </a:ext>
          </a:extLst>
        </xdr:cNvPr>
        <xdr:cNvSpPr/>
      </xdr:nvSpPr>
      <xdr:spPr>
        <a:xfrm>
          <a:off x="10447020" y="685800"/>
          <a:ext cx="183642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114300</xdr:colOff>
      <xdr:row>3</xdr:row>
      <xdr:rowOff>129540</xdr:rowOff>
    </xdr:from>
    <xdr:to>
      <xdr:col>23</xdr:col>
      <xdr:colOff>121920</xdr:colOff>
      <xdr:row>8</xdr:row>
      <xdr:rowOff>129540</xdr:rowOff>
    </xdr:to>
    <xdr:sp macro="" textlink="">
      <xdr:nvSpPr>
        <xdr:cNvPr id="38" name="Rectangle 37">
          <a:extLst>
            <a:ext uri="{FF2B5EF4-FFF2-40B4-BE49-F238E27FC236}">
              <a16:creationId xmlns:a16="http://schemas.microsoft.com/office/drawing/2014/main" id="{F6D570C1-65E8-4965-AFB6-2C2061793CFE}"/>
            </a:ext>
          </a:extLst>
        </xdr:cNvPr>
        <xdr:cNvSpPr/>
      </xdr:nvSpPr>
      <xdr:spPr>
        <a:xfrm>
          <a:off x="12306300" y="678180"/>
          <a:ext cx="183642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518160</xdr:colOff>
      <xdr:row>3</xdr:row>
      <xdr:rowOff>129540</xdr:rowOff>
    </xdr:from>
    <xdr:to>
      <xdr:col>11</xdr:col>
      <xdr:colOff>358140</xdr:colOff>
      <xdr:row>8</xdr:row>
      <xdr:rowOff>129540</xdr:rowOff>
    </xdr:to>
    <xdr:sp macro="" textlink="">
      <xdr:nvSpPr>
        <xdr:cNvPr id="39" name="Rectangle 38">
          <a:extLst>
            <a:ext uri="{FF2B5EF4-FFF2-40B4-BE49-F238E27FC236}">
              <a16:creationId xmlns:a16="http://schemas.microsoft.com/office/drawing/2014/main" id="{2BBB8AD6-CEEF-4F85-9EF7-0087E4CF61A8}"/>
            </a:ext>
          </a:extLst>
        </xdr:cNvPr>
        <xdr:cNvSpPr/>
      </xdr:nvSpPr>
      <xdr:spPr>
        <a:xfrm>
          <a:off x="5394960" y="678180"/>
          <a:ext cx="166878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373380</xdr:colOff>
      <xdr:row>3</xdr:row>
      <xdr:rowOff>129540</xdr:rowOff>
    </xdr:from>
    <xdr:to>
      <xdr:col>14</xdr:col>
      <xdr:colOff>213360</xdr:colOff>
      <xdr:row>8</xdr:row>
      <xdr:rowOff>129540</xdr:rowOff>
    </xdr:to>
    <xdr:sp macro="" textlink="">
      <xdr:nvSpPr>
        <xdr:cNvPr id="41" name="Rectangle 40">
          <a:extLst>
            <a:ext uri="{FF2B5EF4-FFF2-40B4-BE49-F238E27FC236}">
              <a16:creationId xmlns:a16="http://schemas.microsoft.com/office/drawing/2014/main" id="{47AA4C08-7A7E-438D-A9E4-9BA99904A998}"/>
            </a:ext>
          </a:extLst>
        </xdr:cNvPr>
        <xdr:cNvSpPr/>
      </xdr:nvSpPr>
      <xdr:spPr>
        <a:xfrm>
          <a:off x="7078980" y="678180"/>
          <a:ext cx="166878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228600</xdr:colOff>
      <xdr:row>3</xdr:row>
      <xdr:rowOff>129540</xdr:rowOff>
    </xdr:from>
    <xdr:to>
      <xdr:col>17</xdr:col>
      <xdr:colOff>68580</xdr:colOff>
      <xdr:row>8</xdr:row>
      <xdr:rowOff>129540</xdr:rowOff>
    </xdr:to>
    <xdr:sp macro="" textlink="">
      <xdr:nvSpPr>
        <xdr:cNvPr id="42" name="Rectangle 41">
          <a:extLst>
            <a:ext uri="{FF2B5EF4-FFF2-40B4-BE49-F238E27FC236}">
              <a16:creationId xmlns:a16="http://schemas.microsoft.com/office/drawing/2014/main" id="{DC088897-5737-404D-893C-7B1100643D0A}"/>
            </a:ext>
          </a:extLst>
        </xdr:cNvPr>
        <xdr:cNvSpPr/>
      </xdr:nvSpPr>
      <xdr:spPr>
        <a:xfrm>
          <a:off x="8763000" y="678180"/>
          <a:ext cx="166878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60960</xdr:colOff>
      <xdr:row>3</xdr:row>
      <xdr:rowOff>137160</xdr:rowOff>
    </xdr:from>
    <xdr:to>
      <xdr:col>8</xdr:col>
      <xdr:colOff>510540</xdr:colOff>
      <xdr:row>8</xdr:row>
      <xdr:rowOff>137160</xdr:rowOff>
    </xdr:to>
    <xdr:sp macro="" textlink="">
      <xdr:nvSpPr>
        <xdr:cNvPr id="43" name="Rectangle 42">
          <a:extLst>
            <a:ext uri="{FF2B5EF4-FFF2-40B4-BE49-F238E27FC236}">
              <a16:creationId xmlns:a16="http://schemas.microsoft.com/office/drawing/2014/main" id="{5AB9F2D0-CBF1-428D-BD9E-9FADB20DC024}"/>
            </a:ext>
          </a:extLst>
        </xdr:cNvPr>
        <xdr:cNvSpPr/>
      </xdr:nvSpPr>
      <xdr:spPr>
        <a:xfrm>
          <a:off x="3718560" y="685800"/>
          <a:ext cx="1668780" cy="91440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114300</xdr:colOff>
      <xdr:row>4</xdr:row>
      <xdr:rowOff>7620</xdr:rowOff>
    </xdr:from>
    <xdr:to>
      <xdr:col>8</xdr:col>
      <xdr:colOff>457200</xdr:colOff>
      <xdr:row>6</xdr:row>
      <xdr:rowOff>15240</xdr:rowOff>
    </xdr:to>
    <xdr:sp macro="" textlink="">
      <xdr:nvSpPr>
        <xdr:cNvPr id="44" name="TextBox 43">
          <a:extLst>
            <a:ext uri="{FF2B5EF4-FFF2-40B4-BE49-F238E27FC236}">
              <a16:creationId xmlns:a16="http://schemas.microsoft.com/office/drawing/2014/main" id="{097CEE9A-0681-41DA-C629-E75979055FE4}"/>
            </a:ext>
          </a:extLst>
        </xdr:cNvPr>
        <xdr:cNvSpPr txBox="1"/>
      </xdr:nvSpPr>
      <xdr:spPr>
        <a:xfrm>
          <a:off x="3771900" y="739140"/>
          <a:ext cx="15621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Total</a:t>
          </a:r>
          <a:r>
            <a:rPr lang="en-US" sz="1200" b="1" baseline="0">
              <a:solidFill>
                <a:srgbClr val="7030A0"/>
              </a:solidFill>
            </a:rPr>
            <a:t> Asset</a:t>
          </a:r>
          <a:endParaRPr lang="en-US" sz="1200" b="1">
            <a:solidFill>
              <a:srgbClr val="7030A0"/>
            </a:solidFill>
          </a:endParaRPr>
        </a:p>
      </xdr:txBody>
    </xdr:sp>
    <xdr:clientData/>
  </xdr:twoCellAnchor>
  <xdr:twoCellAnchor>
    <xdr:from>
      <xdr:col>6</xdr:col>
      <xdr:colOff>121920</xdr:colOff>
      <xdr:row>6</xdr:row>
      <xdr:rowOff>30480</xdr:rowOff>
    </xdr:from>
    <xdr:to>
      <xdr:col>8</xdr:col>
      <xdr:colOff>464820</xdr:colOff>
      <xdr:row>8</xdr:row>
      <xdr:rowOff>76200</xdr:rowOff>
    </xdr:to>
    <xdr:sp macro="" textlink="'Pivot table'!$A$75">
      <xdr:nvSpPr>
        <xdr:cNvPr id="47" name="TextBox 46">
          <a:extLst>
            <a:ext uri="{FF2B5EF4-FFF2-40B4-BE49-F238E27FC236}">
              <a16:creationId xmlns:a16="http://schemas.microsoft.com/office/drawing/2014/main" id="{B79335EE-8959-4D41-B0D6-3C14EDBC09AE}"/>
            </a:ext>
          </a:extLst>
        </xdr:cNvPr>
        <xdr:cNvSpPr txBox="1"/>
      </xdr:nvSpPr>
      <xdr:spPr>
        <a:xfrm>
          <a:off x="3779520" y="1127760"/>
          <a:ext cx="156210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EE4100-EC4E-435A-9E2B-9AF67F4849A7}" type="TxLink">
            <a:rPr lang="en-US" sz="1200" b="1" i="0" u="none" strike="noStrike">
              <a:solidFill>
                <a:srgbClr val="7030A0"/>
              </a:solidFill>
              <a:latin typeface="Calibri"/>
              <a:ea typeface="Calibri"/>
              <a:cs typeface="Calibri"/>
            </a:rPr>
            <a:pPr algn="ctr"/>
            <a:t> £6,333,313,618 </a:t>
          </a:fld>
          <a:endParaRPr lang="en-US" sz="1200" b="1">
            <a:solidFill>
              <a:srgbClr val="7030A0"/>
            </a:solidFill>
          </a:endParaRPr>
        </a:p>
      </xdr:txBody>
    </xdr:sp>
    <xdr:clientData/>
  </xdr:twoCellAnchor>
  <xdr:twoCellAnchor>
    <xdr:from>
      <xdr:col>8</xdr:col>
      <xdr:colOff>571500</xdr:colOff>
      <xdr:row>4</xdr:row>
      <xdr:rowOff>7620</xdr:rowOff>
    </xdr:from>
    <xdr:to>
      <xdr:col>11</xdr:col>
      <xdr:colOff>304800</xdr:colOff>
      <xdr:row>6</xdr:row>
      <xdr:rowOff>15240</xdr:rowOff>
    </xdr:to>
    <xdr:sp macro="" textlink="">
      <xdr:nvSpPr>
        <xdr:cNvPr id="49" name="TextBox 48">
          <a:extLst>
            <a:ext uri="{FF2B5EF4-FFF2-40B4-BE49-F238E27FC236}">
              <a16:creationId xmlns:a16="http://schemas.microsoft.com/office/drawing/2014/main" id="{EBD23461-7835-4557-95F0-53BA5492CA1F}"/>
            </a:ext>
          </a:extLst>
        </xdr:cNvPr>
        <xdr:cNvSpPr txBox="1"/>
      </xdr:nvSpPr>
      <xdr:spPr>
        <a:xfrm>
          <a:off x="5448300" y="739140"/>
          <a:ext cx="15621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Total Liabilities</a:t>
          </a:r>
        </a:p>
      </xdr:txBody>
    </xdr:sp>
    <xdr:clientData/>
  </xdr:twoCellAnchor>
  <xdr:twoCellAnchor>
    <xdr:from>
      <xdr:col>14</xdr:col>
      <xdr:colOff>274320</xdr:colOff>
      <xdr:row>6</xdr:row>
      <xdr:rowOff>15240</xdr:rowOff>
    </xdr:from>
    <xdr:to>
      <xdr:col>17</xdr:col>
      <xdr:colOff>7620</xdr:colOff>
      <xdr:row>8</xdr:row>
      <xdr:rowOff>68580</xdr:rowOff>
    </xdr:to>
    <xdr:sp macro="" textlink="'Pivot table'!$A$72">
      <xdr:nvSpPr>
        <xdr:cNvPr id="56" name="TextBox 55">
          <a:extLst>
            <a:ext uri="{FF2B5EF4-FFF2-40B4-BE49-F238E27FC236}">
              <a16:creationId xmlns:a16="http://schemas.microsoft.com/office/drawing/2014/main" id="{148C05A6-B57B-4C68-8699-EDE6401FC505}"/>
            </a:ext>
          </a:extLst>
        </xdr:cNvPr>
        <xdr:cNvSpPr txBox="1"/>
      </xdr:nvSpPr>
      <xdr:spPr>
        <a:xfrm>
          <a:off x="8808720" y="1112520"/>
          <a:ext cx="15621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7FEF5D-3308-49DD-97B8-1BCB7DC9EAE9}" type="TxLink">
            <a:rPr lang="en-US" sz="1200" b="1" i="0" u="none" strike="noStrike">
              <a:solidFill>
                <a:srgbClr val="7030A0"/>
              </a:solidFill>
              <a:latin typeface="Calibri"/>
              <a:ea typeface="Calibri"/>
              <a:cs typeface="Calibri"/>
            </a:rPr>
            <a:pPr algn="ctr"/>
            <a:t>20200.11%</a:t>
          </a:fld>
          <a:endParaRPr lang="en-US" sz="1200" b="1">
            <a:solidFill>
              <a:srgbClr val="7030A0"/>
            </a:solidFill>
          </a:endParaRPr>
        </a:p>
      </xdr:txBody>
    </xdr:sp>
    <xdr:clientData/>
  </xdr:twoCellAnchor>
  <xdr:twoCellAnchor>
    <xdr:from>
      <xdr:col>14</xdr:col>
      <xdr:colOff>274320</xdr:colOff>
      <xdr:row>4</xdr:row>
      <xdr:rowOff>0</xdr:rowOff>
    </xdr:from>
    <xdr:to>
      <xdr:col>17</xdr:col>
      <xdr:colOff>7620</xdr:colOff>
      <xdr:row>6</xdr:row>
      <xdr:rowOff>7620</xdr:rowOff>
    </xdr:to>
    <xdr:sp macro="" textlink="">
      <xdr:nvSpPr>
        <xdr:cNvPr id="69" name="TextBox 68">
          <a:extLst>
            <a:ext uri="{FF2B5EF4-FFF2-40B4-BE49-F238E27FC236}">
              <a16:creationId xmlns:a16="http://schemas.microsoft.com/office/drawing/2014/main" id="{72A2D020-1ACD-447E-896A-B5A1E09F9317}"/>
            </a:ext>
          </a:extLst>
        </xdr:cNvPr>
        <xdr:cNvSpPr txBox="1"/>
      </xdr:nvSpPr>
      <xdr:spPr>
        <a:xfrm>
          <a:off x="8808720" y="731520"/>
          <a:ext cx="15621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Profit Margin</a:t>
          </a:r>
        </a:p>
      </xdr:txBody>
    </xdr:sp>
    <xdr:clientData/>
  </xdr:twoCellAnchor>
  <xdr:twoCellAnchor>
    <xdr:from>
      <xdr:col>17</xdr:col>
      <xdr:colOff>137160</xdr:colOff>
      <xdr:row>6</xdr:row>
      <xdr:rowOff>15240</xdr:rowOff>
    </xdr:from>
    <xdr:to>
      <xdr:col>20</xdr:col>
      <xdr:colOff>38100</xdr:colOff>
      <xdr:row>8</xdr:row>
      <xdr:rowOff>91440</xdr:rowOff>
    </xdr:to>
    <xdr:sp macro="" textlink="'Pivot table'!$A$65">
      <xdr:nvSpPr>
        <xdr:cNvPr id="70" name="TextBox 69">
          <a:extLst>
            <a:ext uri="{FF2B5EF4-FFF2-40B4-BE49-F238E27FC236}">
              <a16:creationId xmlns:a16="http://schemas.microsoft.com/office/drawing/2014/main" id="{8CF0AA27-441A-498E-B3FB-8776AFB4FFFF}"/>
            </a:ext>
          </a:extLst>
        </xdr:cNvPr>
        <xdr:cNvSpPr txBox="1"/>
      </xdr:nvSpPr>
      <xdr:spPr>
        <a:xfrm>
          <a:off x="10500360" y="1112520"/>
          <a:ext cx="172974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9BFC7D-0491-43D9-86DB-A0EA05FEC5C8}" type="TxLink">
            <a:rPr lang="en-US" sz="1200" b="1" i="0" u="none" strike="noStrike">
              <a:solidFill>
                <a:srgbClr val="7030A0"/>
              </a:solidFill>
              <a:latin typeface="Calibri"/>
              <a:ea typeface="Calibri"/>
              <a:cs typeface="Calibri"/>
            </a:rPr>
            <a:pPr algn="ctr"/>
            <a:t>24788.5%</a:t>
          </a:fld>
          <a:endParaRPr lang="en-US" sz="1200" b="1">
            <a:solidFill>
              <a:srgbClr val="7030A0"/>
            </a:solidFill>
          </a:endParaRPr>
        </a:p>
      </xdr:txBody>
    </xdr:sp>
    <xdr:clientData/>
  </xdr:twoCellAnchor>
  <xdr:twoCellAnchor>
    <xdr:from>
      <xdr:col>17</xdr:col>
      <xdr:colOff>137160</xdr:colOff>
      <xdr:row>4</xdr:row>
      <xdr:rowOff>7620</xdr:rowOff>
    </xdr:from>
    <xdr:to>
      <xdr:col>20</xdr:col>
      <xdr:colOff>38100</xdr:colOff>
      <xdr:row>6</xdr:row>
      <xdr:rowOff>15240</xdr:rowOff>
    </xdr:to>
    <xdr:sp macro="" textlink="">
      <xdr:nvSpPr>
        <xdr:cNvPr id="71" name="TextBox 70">
          <a:extLst>
            <a:ext uri="{FF2B5EF4-FFF2-40B4-BE49-F238E27FC236}">
              <a16:creationId xmlns:a16="http://schemas.microsoft.com/office/drawing/2014/main" id="{6D70F75E-D18E-4A4F-83F2-EDCA4A7FB606}"/>
            </a:ext>
          </a:extLst>
        </xdr:cNvPr>
        <xdr:cNvSpPr txBox="1"/>
      </xdr:nvSpPr>
      <xdr:spPr>
        <a:xfrm>
          <a:off x="10500360" y="739140"/>
          <a:ext cx="172974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Cost to income margin</a:t>
          </a:r>
        </a:p>
      </xdr:txBody>
    </xdr:sp>
    <xdr:clientData/>
  </xdr:twoCellAnchor>
  <xdr:twoCellAnchor>
    <xdr:from>
      <xdr:col>20</xdr:col>
      <xdr:colOff>167640</xdr:colOff>
      <xdr:row>6</xdr:row>
      <xdr:rowOff>45720</xdr:rowOff>
    </xdr:from>
    <xdr:to>
      <xdr:col>23</xdr:col>
      <xdr:colOff>60960</xdr:colOff>
      <xdr:row>8</xdr:row>
      <xdr:rowOff>76200</xdr:rowOff>
    </xdr:to>
    <xdr:sp macro="" textlink="'Pivot table'!$A$69">
      <xdr:nvSpPr>
        <xdr:cNvPr id="72" name="TextBox 71">
          <a:extLst>
            <a:ext uri="{FF2B5EF4-FFF2-40B4-BE49-F238E27FC236}">
              <a16:creationId xmlns:a16="http://schemas.microsoft.com/office/drawing/2014/main" id="{4C615690-854F-4011-9AD1-3AE39F1752F3}"/>
            </a:ext>
          </a:extLst>
        </xdr:cNvPr>
        <xdr:cNvSpPr txBox="1"/>
      </xdr:nvSpPr>
      <xdr:spPr>
        <a:xfrm>
          <a:off x="12359640" y="1143000"/>
          <a:ext cx="172212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83A35C-BF73-46CF-9971-B1D76EE013A7}" type="TxLink">
            <a:rPr lang="en-US" sz="1100" b="1" i="0" u="none" strike="noStrike">
              <a:solidFill>
                <a:srgbClr val="7030A0"/>
              </a:solidFill>
              <a:latin typeface="Calibri"/>
              <a:ea typeface="Calibri"/>
              <a:cs typeface="Calibri"/>
            </a:rPr>
            <a:pPr algn="ctr"/>
            <a:t>375.81%</a:t>
          </a:fld>
          <a:endParaRPr lang="en-US" sz="1100" b="1">
            <a:solidFill>
              <a:srgbClr val="7030A0"/>
            </a:solidFill>
          </a:endParaRPr>
        </a:p>
      </xdr:txBody>
    </xdr:sp>
    <xdr:clientData/>
  </xdr:twoCellAnchor>
  <xdr:twoCellAnchor>
    <xdr:from>
      <xdr:col>20</xdr:col>
      <xdr:colOff>167640</xdr:colOff>
      <xdr:row>4</xdr:row>
      <xdr:rowOff>0</xdr:rowOff>
    </xdr:from>
    <xdr:to>
      <xdr:col>23</xdr:col>
      <xdr:colOff>60960</xdr:colOff>
      <xdr:row>6</xdr:row>
      <xdr:rowOff>38100</xdr:rowOff>
    </xdr:to>
    <xdr:sp macro="" textlink="">
      <xdr:nvSpPr>
        <xdr:cNvPr id="73" name="TextBox 72">
          <a:extLst>
            <a:ext uri="{FF2B5EF4-FFF2-40B4-BE49-F238E27FC236}">
              <a16:creationId xmlns:a16="http://schemas.microsoft.com/office/drawing/2014/main" id="{2B4D2EDE-8316-4C51-9FD4-EE0B4B04CA86}"/>
            </a:ext>
          </a:extLst>
        </xdr:cNvPr>
        <xdr:cNvSpPr txBox="1"/>
      </xdr:nvSpPr>
      <xdr:spPr>
        <a:xfrm>
          <a:off x="12359640" y="731520"/>
          <a:ext cx="172212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Net interest</a:t>
          </a:r>
          <a:r>
            <a:rPr lang="en-US" sz="1200" b="1" baseline="0">
              <a:solidFill>
                <a:srgbClr val="7030A0"/>
              </a:solidFill>
            </a:rPr>
            <a:t> margin</a:t>
          </a:r>
          <a:endParaRPr lang="en-US" sz="1200" b="1">
            <a:solidFill>
              <a:srgbClr val="7030A0"/>
            </a:solidFill>
          </a:endParaRPr>
        </a:p>
      </xdr:txBody>
    </xdr:sp>
    <xdr:clientData/>
  </xdr:twoCellAnchor>
  <xdr:twoCellAnchor>
    <xdr:from>
      <xdr:col>8</xdr:col>
      <xdr:colOff>571500</xdr:colOff>
      <xdr:row>6</xdr:row>
      <xdr:rowOff>22860</xdr:rowOff>
    </xdr:from>
    <xdr:to>
      <xdr:col>11</xdr:col>
      <xdr:colOff>304800</xdr:colOff>
      <xdr:row>8</xdr:row>
      <xdr:rowOff>68580</xdr:rowOff>
    </xdr:to>
    <xdr:sp macro="" textlink="'Pivot table'!$A$18">
      <xdr:nvSpPr>
        <xdr:cNvPr id="74" name="TextBox 73">
          <a:extLst>
            <a:ext uri="{FF2B5EF4-FFF2-40B4-BE49-F238E27FC236}">
              <a16:creationId xmlns:a16="http://schemas.microsoft.com/office/drawing/2014/main" id="{37E0A546-22C0-4B5F-8020-9D8DE69CCE84}"/>
            </a:ext>
          </a:extLst>
        </xdr:cNvPr>
        <xdr:cNvSpPr txBox="1"/>
      </xdr:nvSpPr>
      <xdr:spPr>
        <a:xfrm>
          <a:off x="5448300" y="1120140"/>
          <a:ext cx="156210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52CA9E-E327-4B76-B38B-51067D2A9316}" type="TxLink">
            <a:rPr lang="en-US" sz="1200" b="1" i="0" u="none" strike="noStrike">
              <a:solidFill>
                <a:srgbClr val="7030A0"/>
              </a:solidFill>
              <a:latin typeface="Calibri"/>
              <a:ea typeface="Calibri"/>
              <a:cs typeface="Calibri"/>
            </a:rPr>
            <a:pPr algn="ctr"/>
            <a:t> £4,361,218,198 </a:t>
          </a:fld>
          <a:endParaRPr lang="en-US" sz="1200" b="1">
            <a:solidFill>
              <a:srgbClr val="7030A0"/>
            </a:solidFill>
          </a:endParaRPr>
        </a:p>
      </xdr:txBody>
    </xdr:sp>
    <xdr:clientData/>
  </xdr:twoCellAnchor>
  <xdr:twoCellAnchor>
    <xdr:from>
      <xdr:col>11</xdr:col>
      <xdr:colOff>426720</xdr:colOff>
      <xdr:row>4</xdr:row>
      <xdr:rowOff>0</xdr:rowOff>
    </xdr:from>
    <xdr:to>
      <xdr:col>14</xdr:col>
      <xdr:colOff>160020</xdr:colOff>
      <xdr:row>6</xdr:row>
      <xdr:rowOff>7620</xdr:rowOff>
    </xdr:to>
    <xdr:sp macro="" textlink="">
      <xdr:nvSpPr>
        <xdr:cNvPr id="75" name="TextBox 74">
          <a:extLst>
            <a:ext uri="{FF2B5EF4-FFF2-40B4-BE49-F238E27FC236}">
              <a16:creationId xmlns:a16="http://schemas.microsoft.com/office/drawing/2014/main" id="{013F6FF1-D9DC-4DE2-A36F-678E9EAEA5C0}"/>
            </a:ext>
          </a:extLst>
        </xdr:cNvPr>
        <xdr:cNvSpPr txBox="1"/>
      </xdr:nvSpPr>
      <xdr:spPr>
        <a:xfrm>
          <a:off x="7132320" y="731520"/>
          <a:ext cx="15621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7030A0"/>
              </a:solidFill>
            </a:rPr>
            <a:t>Profit</a:t>
          </a:r>
          <a:r>
            <a:rPr lang="en-US" sz="1200" b="1" baseline="0">
              <a:solidFill>
                <a:srgbClr val="7030A0"/>
              </a:solidFill>
            </a:rPr>
            <a:t> After Tax</a:t>
          </a:r>
          <a:endParaRPr lang="en-US" sz="1200" b="1">
            <a:solidFill>
              <a:srgbClr val="7030A0"/>
            </a:solidFill>
          </a:endParaRPr>
        </a:p>
      </xdr:txBody>
    </xdr:sp>
    <xdr:clientData/>
  </xdr:twoCellAnchor>
  <xdr:twoCellAnchor>
    <xdr:from>
      <xdr:col>11</xdr:col>
      <xdr:colOff>434340</xdr:colOff>
      <xdr:row>6</xdr:row>
      <xdr:rowOff>15240</xdr:rowOff>
    </xdr:from>
    <xdr:to>
      <xdr:col>14</xdr:col>
      <xdr:colOff>167640</xdr:colOff>
      <xdr:row>8</xdr:row>
      <xdr:rowOff>60960</xdr:rowOff>
    </xdr:to>
    <xdr:sp macro="" textlink="'Pivot table'!$A$14">
      <xdr:nvSpPr>
        <xdr:cNvPr id="76" name="TextBox 75">
          <a:extLst>
            <a:ext uri="{FF2B5EF4-FFF2-40B4-BE49-F238E27FC236}">
              <a16:creationId xmlns:a16="http://schemas.microsoft.com/office/drawing/2014/main" id="{AF31C35F-D840-460F-9F43-1BB0A6B21F9D}"/>
            </a:ext>
          </a:extLst>
        </xdr:cNvPr>
        <xdr:cNvSpPr txBox="1"/>
      </xdr:nvSpPr>
      <xdr:spPr>
        <a:xfrm>
          <a:off x="7139940" y="1112520"/>
          <a:ext cx="156210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488122-1208-4814-A104-78F2BCB2DCAB}" type="TxLink">
            <a:rPr lang="en-US" sz="1200" b="1" i="0" u="none" strike="noStrike">
              <a:solidFill>
                <a:srgbClr val="7030A0"/>
              </a:solidFill>
              <a:latin typeface="Calibri"/>
              <a:ea typeface="Calibri"/>
              <a:cs typeface="Calibri"/>
            </a:rPr>
            <a:pPr algn="ctr"/>
            <a:t> £40,496,718 </a:t>
          </a:fld>
          <a:endParaRPr lang="en-US" sz="1200" b="1">
            <a:solidFill>
              <a:srgbClr val="7030A0"/>
            </a:solidFill>
          </a:endParaRPr>
        </a:p>
      </xdr:txBody>
    </xdr:sp>
    <xdr:clientData/>
  </xdr:twoCellAnchor>
  <xdr:twoCellAnchor editAs="oneCell">
    <xdr:from>
      <xdr:col>0</xdr:col>
      <xdr:colOff>15240</xdr:colOff>
      <xdr:row>0</xdr:row>
      <xdr:rowOff>60961</xdr:rowOff>
    </xdr:from>
    <xdr:to>
      <xdr:col>3</xdr:col>
      <xdr:colOff>22860</xdr:colOff>
      <xdr:row>8</xdr:row>
      <xdr:rowOff>121920</xdr:rowOff>
    </xdr:to>
    <mc:AlternateContent xmlns:mc="http://schemas.openxmlformats.org/markup-compatibility/2006" xmlns:a14="http://schemas.microsoft.com/office/drawing/2010/main">
      <mc:Choice Requires="a14">
        <xdr:graphicFrame macro="">
          <xdr:nvGraphicFramePr>
            <xdr:cNvPr id="77" name="Bank_Name 1">
              <a:extLst>
                <a:ext uri="{FF2B5EF4-FFF2-40B4-BE49-F238E27FC236}">
                  <a16:creationId xmlns:a16="http://schemas.microsoft.com/office/drawing/2014/main" id="{650BF531-0263-46D4-8CF4-77BEB7BAF080}"/>
                </a:ext>
              </a:extLst>
            </xdr:cNvPr>
            <xdr:cNvGraphicFramePr/>
          </xdr:nvGraphicFramePr>
          <xdr:xfrm>
            <a:off x="0" y="0"/>
            <a:ext cx="0" cy="0"/>
          </xdr:xfrm>
          <a:graphic>
            <a:graphicData uri="http://schemas.microsoft.com/office/drawing/2010/slicer">
              <sle:slicer xmlns:sle="http://schemas.microsoft.com/office/drawing/2010/slicer" name="Bank_Name 1"/>
            </a:graphicData>
          </a:graphic>
        </xdr:graphicFrame>
      </mc:Choice>
      <mc:Fallback xmlns="">
        <xdr:sp macro="" textlink="">
          <xdr:nvSpPr>
            <xdr:cNvPr id="0" name=""/>
            <xdr:cNvSpPr>
              <a:spLocks noTextEdit="1"/>
            </xdr:cNvSpPr>
          </xdr:nvSpPr>
          <xdr:spPr>
            <a:xfrm>
              <a:off x="15240" y="60961"/>
              <a:ext cx="183642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0</xdr:row>
      <xdr:rowOff>45720</xdr:rowOff>
    </xdr:from>
    <xdr:to>
      <xdr:col>6</xdr:col>
      <xdr:colOff>30480</xdr:colOff>
      <xdr:row>8</xdr:row>
      <xdr:rowOff>114300</xdr:rowOff>
    </xdr:to>
    <mc:AlternateContent xmlns:mc="http://schemas.openxmlformats.org/markup-compatibility/2006" xmlns:a14="http://schemas.microsoft.com/office/drawing/2010/main">
      <mc:Choice Requires="a14">
        <xdr:graphicFrame macro="">
          <xdr:nvGraphicFramePr>
            <xdr:cNvPr id="78" name="Year 1">
              <a:extLst>
                <a:ext uri="{FF2B5EF4-FFF2-40B4-BE49-F238E27FC236}">
                  <a16:creationId xmlns:a16="http://schemas.microsoft.com/office/drawing/2014/main" id="{AEA17C4D-DBEC-414E-A27B-CC0ED2D0393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97380" y="45720"/>
              <a:ext cx="1790700" cy="153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121920</xdr:colOff>
      <xdr:row>22</xdr:row>
      <xdr:rowOff>152400</xdr:rowOff>
    </xdr:from>
    <xdr:to>
      <xdr:col>17</xdr:col>
      <xdr:colOff>182880</xdr:colOff>
      <xdr:row>36</xdr:row>
      <xdr:rowOff>114300</xdr:rowOff>
    </xdr:to>
    <xdr:graphicFrame macro="">
      <xdr:nvGraphicFramePr>
        <xdr:cNvPr id="79" name="Chart 78">
          <a:extLst>
            <a:ext uri="{FF2B5EF4-FFF2-40B4-BE49-F238E27FC236}">
              <a16:creationId xmlns:a16="http://schemas.microsoft.com/office/drawing/2014/main" id="{08374D05-645D-44DE-A78A-465821C3D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121920</xdr:colOff>
      <xdr:row>8</xdr:row>
      <xdr:rowOff>175260</xdr:rowOff>
    </xdr:from>
    <xdr:to>
      <xdr:col>17</xdr:col>
      <xdr:colOff>175260</xdr:colOff>
      <xdr:row>22</xdr:row>
      <xdr:rowOff>121920</xdr:rowOff>
    </xdr:to>
    <xdr:graphicFrame macro="">
      <xdr:nvGraphicFramePr>
        <xdr:cNvPr id="80" name="Chart 79">
          <a:extLst>
            <a:ext uri="{FF2B5EF4-FFF2-40B4-BE49-F238E27FC236}">
              <a16:creationId xmlns:a16="http://schemas.microsoft.com/office/drawing/2014/main" id="{EE298096-AF0C-4339-9EF1-4EE2594BC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205740</xdr:colOff>
      <xdr:row>22</xdr:row>
      <xdr:rowOff>137160</xdr:rowOff>
    </xdr:from>
    <xdr:to>
      <xdr:col>23</xdr:col>
      <xdr:colOff>99060</xdr:colOff>
      <xdr:row>36</xdr:row>
      <xdr:rowOff>76200</xdr:rowOff>
    </xdr:to>
    <xdr:graphicFrame macro="">
      <xdr:nvGraphicFramePr>
        <xdr:cNvPr id="81" name="Chart 80">
          <a:extLst>
            <a:ext uri="{FF2B5EF4-FFF2-40B4-BE49-F238E27FC236}">
              <a16:creationId xmlns:a16="http://schemas.microsoft.com/office/drawing/2014/main" id="{D49DC1B3-DA5B-4BE6-9A78-21C1EA49B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236220</xdr:colOff>
      <xdr:row>8</xdr:row>
      <xdr:rowOff>144780</xdr:rowOff>
    </xdr:from>
    <xdr:to>
      <xdr:col>11</xdr:col>
      <xdr:colOff>91440</xdr:colOff>
      <xdr:row>22</xdr:row>
      <xdr:rowOff>106680</xdr:rowOff>
    </xdr:to>
    <xdr:graphicFrame macro="">
      <xdr:nvGraphicFramePr>
        <xdr:cNvPr id="83" name="Chart 82">
          <a:extLst>
            <a:ext uri="{FF2B5EF4-FFF2-40B4-BE49-F238E27FC236}">
              <a16:creationId xmlns:a16="http://schemas.microsoft.com/office/drawing/2014/main" id="{1FEE9238-233F-490A-9725-E9D688A48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22</xdr:row>
      <xdr:rowOff>152400</xdr:rowOff>
    </xdr:from>
    <xdr:to>
      <xdr:col>5</xdr:col>
      <xdr:colOff>182880</xdr:colOff>
      <xdr:row>36</xdr:row>
      <xdr:rowOff>83820</xdr:rowOff>
    </xdr:to>
    <xdr:graphicFrame macro="">
      <xdr:nvGraphicFramePr>
        <xdr:cNvPr id="84" name="Chart 4">
          <a:extLst>
            <a:ext uri="{FF2B5EF4-FFF2-40B4-BE49-F238E27FC236}">
              <a16:creationId xmlns:a16="http://schemas.microsoft.com/office/drawing/2014/main" id="{DAB4E4C0-87C6-4DB1-86D1-C7A6B914A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228600</xdr:colOff>
      <xdr:row>22</xdr:row>
      <xdr:rowOff>152400</xdr:rowOff>
    </xdr:from>
    <xdr:to>
      <xdr:col>11</xdr:col>
      <xdr:colOff>91440</xdr:colOff>
      <xdr:row>36</xdr:row>
      <xdr:rowOff>99060</xdr:rowOff>
    </xdr:to>
    <xdr:graphicFrame macro="">
      <xdr:nvGraphicFramePr>
        <xdr:cNvPr id="86" name="Chart 85">
          <a:extLst>
            <a:ext uri="{FF2B5EF4-FFF2-40B4-BE49-F238E27FC236}">
              <a16:creationId xmlns:a16="http://schemas.microsoft.com/office/drawing/2014/main" id="{33A2BC26-6822-49F9-8593-F9CB04E3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xdr:row>
      <xdr:rowOff>152400</xdr:rowOff>
    </xdr:from>
    <xdr:to>
      <xdr:col>5</xdr:col>
      <xdr:colOff>182880</xdr:colOff>
      <xdr:row>22</xdr:row>
      <xdr:rowOff>106680</xdr:rowOff>
    </xdr:to>
    <xdr:graphicFrame macro="">
      <xdr:nvGraphicFramePr>
        <xdr:cNvPr id="87" name="Chart 1">
          <a:extLst>
            <a:ext uri="{FF2B5EF4-FFF2-40B4-BE49-F238E27FC236}">
              <a16:creationId xmlns:a16="http://schemas.microsoft.com/office/drawing/2014/main" id="{42D31357-6BB7-4387-8C15-9E1426B7D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14</xdr:col>
      <xdr:colOff>304800</xdr:colOff>
      <xdr:row>15</xdr:row>
      <xdr:rowOff>0</xdr:rowOff>
    </xdr:to>
    <xdr:graphicFrame macro="">
      <xdr:nvGraphicFramePr>
        <xdr:cNvPr id="3" name="Chart 2">
          <a:extLst>
            <a:ext uri="{FF2B5EF4-FFF2-40B4-BE49-F238E27FC236}">
              <a16:creationId xmlns:a16="http://schemas.microsoft.com/office/drawing/2014/main" id="{F58C2E9F-E74F-4450-8F7B-B0C19F5C6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18</xdr:row>
      <xdr:rowOff>0</xdr:rowOff>
    </xdr:from>
    <xdr:to>
      <xdr:col>14</xdr:col>
      <xdr:colOff>304800</xdr:colOff>
      <xdr:row>33</xdr:row>
      <xdr:rowOff>0</xdr:rowOff>
    </xdr:to>
    <xdr:graphicFrame macro="">
      <xdr:nvGraphicFramePr>
        <xdr:cNvPr id="5" name="Chart 4">
          <a:extLst>
            <a:ext uri="{FF2B5EF4-FFF2-40B4-BE49-F238E27FC236}">
              <a16:creationId xmlns:a16="http://schemas.microsoft.com/office/drawing/2014/main" id="{538DD4F8-99AB-433B-8930-298496D45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36</xdr:row>
      <xdr:rowOff>0</xdr:rowOff>
    </xdr:from>
    <xdr:to>
      <xdr:col>14</xdr:col>
      <xdr:colOff>304800</xdr:colOff>
      <xdr:row>51</xdr:row>
      <xdr:rowOff>0</xdr:rowOff>
    </xdr:to>
    <xdr:graphicFrame macro="">
      <xdr:nvGraphicFramePr>
        <xdr:cNvPr id="7" name="Chart 6">
          <a:extLst>
            <a:ext uri="{FF2B5EF4-FFF2-40B4-BE49-F238E27FC236}">
              <a16:creationId xmlns:a16="http://schemas.microsoft.com/office/drawing/2014/main" id="{AA5BEEFA-C48E-423B-97E4-FD7FDCF0E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8.534135416667" createdVersion="8" refreshedVersion="8" minRefreshableVersion="3" recordCount="500" xr:uid="{F944C22A-57BA-4B8F-9F2C-F2130169178F}">
  <cacheSource type="worksheet">
    <worksheetSource name="Table1"/>
  </cacheSource>
  <cacheFields count="18">
    <cacheField name="Record_ID" numFmtId="0">
      <sharedItems/>
    </cacheField>
    <cacheField name="Bank_Name" numFmtId="0">
      <sharedItems count="5">
        <s v="Access Bank"/>
        <s v="GTBank"/>
        <s v="Zenith Bank"/>
        <s v="UBA"/>
        <s v="First Bank"/>
      </sharedItems>
    </cacheField>
    <cacheField name="Year" numFmtId="0">
      <sharedItems containsSemiMixedTypes="0" containsString="0" containsNumber="1" containsInteger="1" minValue="2020" maxValue="2024" count="5">
        <n v="2020"/>
        <n v="2021"/>
        <n v="2022"/>
        <n v="2023"/>
        <n v="2024"/>
      </sharedItems>
    </cacheField>
    <cacheField name="Interest_Income" numFmtId="164">
      <sharedItems containsSemiMixedTypes="0" containsString="0" containsNumber="1" containsInteger="1" minValue="50138" maxValue="199817"/>
    </cacheField>
    <cacheField name="Interest_Expense" numFmtId="164">
      <sharedItems containsSemiMixedTypes="0" containsString="0" containsNumber="1" containsInteger="1" minValue="10163" maxValue="79836"/>
    </cacheField>
    <cacheField name="Net_Interest_Income" numFmtId="164">
      <sharedItems containsSemiMixedTypes="0" containsString="0" containsNumber="1" containsInteger="1" minValue="-26470" maxValue="180277"/>
    </cacheField>
    <cacheField name="Operating_Income" numFmtId="164">
      <sharedItems containsSemiMixedTypes="0" containsString="0" containsNumber="1" containsInteger="1" minValue="6192" maxValue="284830"/>
    </cacheField>
    <cacheField name="Operating_Expense" numFmtId="164">
      <sharedItems containsSemiMixedTypes="0" containsString="0" containsNumber="1" containsInteger="1" minValue="15055" maxValue="99976"/>
    </cacheField>
    <cacheField name="Profit_Before_Tax" numFmtId="164">
      <sharedItems containsSemiMixedTypes="0" containsString="0" containsNumber="1" containsInteger="1" minValue="-70135" maxValue="246411"/>
    </cacheField>
    <cacheField name="Profit_After_Tax" numFmtId="164">
      <sharedItems containsSemiMixedTypes="0" containsString="0" containsNumber="1" containsInteger="1" minValue="-80142" maxValue="232941"/>
    </cacheField>
    <cacheField name="Total_Assets" numFmtId="164">
      <sharedItems containsSemiMixedTypes="0" containsString="0" containsNumber="1" containsInteger="1" minValue="5019675" maxValue="19980550"/>
    </cacheField>
    <cacheField name="Total_Liabilities" numFmtId="164">
      <sharedItems containsSemiMixedTypes="0" containsString="0" containsNumber="1" containsInteger="1" minValue="3029725" maxValue="14952983"/>
    </cacheField>
    <cacheField name="Average interest income " numFmtId="164">
      <sharedItems containsSemiMixedTypes="0" containsString="0" containsNumber="1" minValue="10027.6" maxValue="39963.4"/>
    </cacheField>
    <cacheField name="Average net interest income" numFmtId="164">
      <sharedItems containsSemiMixedTypes="0" containsString="0" containsNumber="1" minValue="-5294" maxValue="36055.4"/>
    </cacheField>
    <cacheField name="Profit margin" numFmtId="10">
      <sharedItems containsSemiMixedTypes="0" containsString="0" containsNumber="1" minValue="-10.806847545219638" maxValue="0.91221494859785213"/>
    </cacheField>
    <cacheField name="Assets to liabilities ratio" numFmtId="2">
      <sharedItems containsSemiMixedTypes="0" containsString="0" containsNumber="1" minValue="15.539090390266411" maxValue="281.62763230227455"/>
    </cacheField>
    <cacheField name="Cost to income" numFmtId="10">
      <sharedItems containsSemiMixedTypes="0" containsString="0" containsNumber="1" minValue="6.7452251998229892E-2" maxValue="9.1417958656330747"/>
    </cacheField>
    <cacheField name="Net interest margin" numFmtId="2">
      <sharedItems containsSemiMixedTypes="0" containsString="0" containsNumber="1" minValue="-4.2683345690594605E-3" maxValue="3.2400366224065183E-2"/>
    </cacheField>
  </cacheFields>
  <extLst>
    <ext xmlns:x14="http://schemas.microsoft.com/office/spreadsheetml/2009/9/main" uri="{725AE2AE-9491-48be-B2B4-4EB974FC3084}">
      <x14:pivotCacheDefinition pivotCacheId="696953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C2020001"/>
    <x v="0"/>
    <x v="0"/>
    <n v="171958"/>
    <n v="25795"/>
    <n v="146163"/>
    <n v="167023"/>
    <n v="91820"/>
    <n v="75203"/>
    <n v="66938"/>
    <n v="14958614"/>
    <n v="12524682"/>
    <n v="34391.599999999999"/>
    <n v="29232.6"/>
    <n v="0.40077115127856644"/>
    <n v="83.728893599366899"/>
    <n v="0.54974464594696537"/>
    <n v="9.7711592798637621E-3"/>
  </r>
  <r>
    <s v="AC2020002"/>
    <x v="0"/>
    <x v="0"/>
    <n v="162727"/>
    <n v="54131"/>
    <n v="108596"/>
    <n v="188859"/>
    <n v="31023"/>
    <n v="157836"/>
    <n v="147514"/>
    <n v="9523669"/>
    <n v="10404852"/>
    <n v="32545.4"/>
    <n v="21719.200000000001"/>
    <n v="0.78108006502205352"/>
    <n v="109.25255802149361"/>
    <n v="0.16426540434927644"/>
    <n v="1.1402748247550392E-2"/>
  </r>
  <r>
    <s v="AC2020003"/>
    <x v="0"/>
    <x v="0"/>
    <n v="50769"/>
    <n v="69735"/>
    <n v="-18966"/>
    <n v="63989"/>
    <n v="79925"/>
    <n v="-15936"/>
    <n v="-20369"/>
    <n v="14180351"/>
    <n v="3103355"/>
    <n v="10153.799999999999"/>
    <n v="-3793.2"/>
    <n v="-0.31832033630780293"/>
    <n v="21.884895514927663"/>
    <n v="1.2490428042319774"/>
    <n v="-1.3374845234790027E-3"/>
  </r>
  <r>
    <s v="AC2020004"/>
    <x v="0"/>
    <x v="0"/>
    <n v="135305"/>
    <n v="38693"/>
    <n v="96612"/>
    <n v="188544"/>
    <n v="40658"/>
    <n v="147886"/>
    <n v="143139"/>
    <n v="18231055"/>
    <n v="12889550"/>
    <n v="27061"/>
    <n v="19322.400000000001"/>
    <n v="0.75918088085539714"/>
    <n v="70.701064749132726"/>
    <n v="0.21564197216564834"/>
    <n v="5.2993093378304219E-3"/>
  </r>
  <r>
    <s v="AC2020005"/>
    <x v="0"/>
    <x v="0"/>
    <n v="115725"/>
    <n v="45773"/>
    <n v="69952"/>
    <n v="157387"/>
    <n v="71886"/>
    <n v="85501"/>
    <n v="82234"/>
    <n v="16041599"/>
    <n v="11242680"/>
    <n v="23145"/>
    <n v="13990.4"/>
    <n v="0.52249550471131667"/>
    <n v="70.084534590348497"/>
    <n v="0.45674674528391801"/>
    <n v="4.3606625499116392E-3"/>
  </r>
  <r>
    <s v="AC2020006"/>
    <x v="0"/>
    <x v="0"/>
    <n v="61394"/>
    <n v="79092"/>
    <n v="-17698"/>
    <n v="6192"/>
    <n v="56606"/>
    <n v="-50414"/>
    <n v="-66916"/>
    <n v="11640913"/>
    <n v="6416664"/>
    <n v="12278.8"/>
    <n v="-3539.6"/>
    <n v="-10.806847545219638"/>
    <n v="55.121655835757899"/>
    <n v="9.1417958656330747"/>
    <n v="-1.5203274863406333E-3"/>
  </r>
  <r>
    <s v="AC2020007"/>
    <x v="0"/>
    <x v="0"/>
    <n v="118148"/>
    <n v="33483"/>
    <n v="84665"/>
    <n v="153220"/>
    <n v="32159"/>
    <n v="121061"/>
    <n v="106855"/>
    <n v="11397986"/>
    <n v="4870928"/>
    <n v="23629.599999999999"/>
    <n v="16933"/>
    <n v="0.69739590131836571"/>
    <n v="42.734988444449748"/>
    <n v="0.20988774311447592"/>
    <n v="7.4280666777446474E-3"/>
  </r>
  <r>
    <s v="AC2020008"/>
    <x v="0"/>
    <x v="0"/>
    <n v="69457"/>
    <n v="76557"/>
    <n v="-7100"/>
    <n v="90089"/>
    <n v="93953"/>
    <n v="-3864"/>
    <n v="-13853"/>
    <n v="5271836"/>
    <n v="6584702"/>
    <n v="13891.4"/>
    <n v="-1420"/>
    <n v="-0.1537701606189435"/>
    <n v="124.90339229065547"/>
    <n v="1.0428909189801197"/>
    <n v="-1.3467793762931928E-3"/>
  </r>
  <r>
    <s v="AC2020009"/>
    <x v="0"/>
    <x v="0"/>
    <n v="87065"/>
    <n v="42606"/>
    <n v="44459"/>
    <n v="75993"/>
    <n v="55397"/>
    <n v="20596"/>
    <n v="17580"/>
    <n v="6007293"/>
    <n v="7774183"/>
    <n v="17413"/>
    <n v="8891.7999999999993"/>
    <n v="0.23133709683786666"/>
    <n v="129.41241587517041"/>
    <n v="0.72897503717447665"/>
    <n v="7.4008376152120432E-3"/>
  </r>
  <r>
    <s v="AC2020010"/>
    <x v="0"/>
    <x v="0"/>
    <n v="73247"/>
    <n v="34300"/>
    <n v="38947"/>
    <n v="133012"/>
    <n v="97798"/>
    <n v="35214"/>
    <n v="23946"/>
    <n v="8494679"/>
    <n v="8517209"/>
    <n v="14649.4"/>
    <n v="7789.4"/>
    <n v="0.18002886957567737"/>
    <n v="100.26522485428819"/>
    <n v="0.73525696929600337"/>
    <n v="4.5848701287005663E-3"/>
  </r>
  <r>
    <s v="AC2020011"/>
    <x v="0"/>
    <x v="0"/>
    <n v="189643"/>
    <n v="48044"/>
    <n v="141599"/>
    <n v="212813"/>
    <n v="76228"/>
    <n v="136585"/>
    <n v="118137"/>
    <n v="5048984"/>
    <n v="13788678"/>
    <n v="37928.6"/>
    <n v="28319.8"/>
    <n v="0.5551211627109246"/>
    <n v="273.09807280038916"/>
    <n v="0.35819240365955085"/>
    <n v="2.804504827109771E-2"/>
  </r>
  <r>
    <s v="AC2020012"/>
    <x v="0"/>
    <x v="0"/>
    <n v="52568"/>
    <n v="72592"/>
    <n v="-20024"/>
    <n v="67539"/>
    <n v="17695"/>
    <n v="49844"/>
    <n v="32422"/>
    <n v="17719242"/>
    <n v="4737095"/>
    <n v="10513.6"/>
    <n v="-4004.8"/>
    <n v="0.48004856453308459"/>
    <n v="26.734185356235894"/>
    <n v="0.2619967722353011"/>
    <n v="-1.1300709138686632E-3"/>
  </r>
  <r>
    <s v="AC2020013"/>
    <x v="0"/>
    <x v="0"/>
    <n v="63986"/>
    <n v="71858"/>
    <n v="-7872"/>
    <n v="24794"/>
    <n v="53660"/>
    <n v="-28866"/>
    <n v="-34427"/>
    <n v="17871910"/>
    <n v="14336697"/>
    <n v="12797.2"/>
    <n v="-1574.4"/>
    <n v="-1.388521416471727"/>
    <n v="80.219165159179965"/>
    <n v="2.1642332822457044"/>
    <n v="-4.4046775078880769E-4"/>
  </r>
  <r>
    <s v="AC2020014"/>
    <x v="0"/>
    <x v="0"/>
    <n v="154488"/>
    <n v="62251"/>
    <n v="92237"/>
    <n v="134899"/>
    <n v="23392"/>
    <n v="111507"/>
    <n v="96440"/>
    <n v="16910049"/>
    <n v="10130144"/>
    <n v="30897.599999999999"/>
    <n v="18447.400000000001"/>
    <n v="0.714905225390848"/>
    <n v="59.906059408816617"/>
    <n v="0.17340380581027287"/>
    <n v="5.4545672812657134E-3"/>
  </r>
  <r>
    <s v="AC2020015"/>
    <x v="0"/>
    <x v="0"/>
    <n v="139135"/>
    <n v="45222"/>
    <n v="93913"/>
    <n v="191286"/>
    <n v="94575"/>
    <n v="96711"/>
    <n v="83746"/>
    <n v="7121690"/>
    <n v="14380258"/>
    <n v="27827"/>
    <n v="18782.599999999999"/>
    <n v="0.43780517131415786"/>
    <n v="201.92198761810749"/>
    <n v="0.49441673724161728"/>
    <n v="1.3186898053692312E-2"/>
  </r>
  <r>
    <s v="AC2020016"/>
    <x v="0"/>
    <x v="0"/>
    <n v="163252"/>
    <n v="18110"/>
    <n v="145142"/>
    <n v="244451"/>
    <n v="42266"/>
    <n v="202185"/>
    <n v="182773"/>
    <n v="16525337"/>
    <n v="9914550"/>
    <n v="32650.400000000001"/>
    <n v="29028.400000000001"/>
    <n v="0.74768767564869854"/>
    <n v="59.99605333313324"/>
    <n v="0.1729017267264196"/>
    <n v="8.7829978898463605E-3"/>
  </r>
  <r>
    <s v="AC2020017"/>
    <x v="0"/>
    <x v="0"/>
    <n v="187982"/>
    <n v="10206"/>
    <n v="177776"/>
    <n v="284830"/>
    <n v="38419"/>
    <n v="246411"/>
    <n v="226543"/>
    <n v="15739378"/>
    <n v="3769598"/>
    <n v="37596.400000000001"/>
    <n v="35555.199999999997"/>
    <n v="0.7953621458413791"/>
    <n v="23.950107812392588"/>
    <n v="0.1348839658743812"/>
    <n v="1.129498255903124E-2"/>
  </r>
  <r>
    <s v="AC2020018"/>
    <x v="0"/>
    <x v="0"/>
    <n v="100015"/>
    <n v="64268"/>
    <n v="35747"/>
    <n v="143686"/>
    <n v="33141"/>
    <n v="110545"/>
    <n v="93725"/>
    <n v="18737366"/>
    <n v="3973548"/>
    <n v="20003"/>
    <n v="7149.4"/>
    <n v="0.65229041103517393"/>
    <n v="21.206545252945372"/>
    <n v="0.23064877580279219"/>
    <n v="1.907792162462963E-3"/>
  </r>
  <r>
    <s v="AC2020019"/>
    <x v="0"/>
    <x v="0"/>
    <n v="112623"/>
    <n v="32299"/>
    <n v="80324"/>
    <n v="143909"/>
    <n v="79044"/>
    <n v="64865"/>
    <n v="53076"/>
    <n v="7539448"/>
    <n v="3109556"/>
    <n v="22524.6"/>
    <n v="16064.8"/>
    <n v="0.36881640481137384"/>
    <n v="41.243815197080743"/>
    <n v="0.54926377085519318"/>
    <n v="1.0653830359994525E-2"/>
  </r>
  <r>
    <s v="AC2020020"/>
    <x v="0"/>
    <x v="0"/>
    <n v="52693"/>
    <n v="79163"/>
    <n v="-26470"/>
    <n v="19469"/>
    <n v="63925"/>
    <n v="-44456"/>
    <n v="-56629"/>
    <n v="6201482"/>
    <n v="3542335"/>
    <n v="10538.6"/>
    <n v="-5294"/>
    <n v="-2.9086753300118136"/>
    <n v="57.120781774421012"/>
    <n v="3.283424931943089"/>
    <n v="-4.2683345690594605E-3"/>
  </r>
  <r>
    <s v="AC2021001"/>
    <x v="0"/>
    <x v="1"/>
    <n v="76105"/>
    <n v="25707"/>
    <n v="50398"/>
    <n v="92374"/>
    <n v="59262"/>
    <n v="33112"/>
    <n v="29806"/>
    <n v="10697469"/>
    <n v="5235000"/>
    <n v="15221"/>
    <n v="10079.6"/>
    <n v="0.32266655119405896"/>
    <n v="48.936809258339522"/>
    <n v="0.64154415744690063"/>
    <n v="4.7112078567369533E-3"/>
  </r>
  <r>
    <s v="AC2021002"/>
    <x v="0"/>
    <x v="1"/>
    <n v="142787"/>
    <n v="65016"/>
    <n v="77771"/>
    <n v="107245"/>
    <n v="73053"/>
    <n v="34192"/>
    <n v="26662"/>
    <n v="19381704"/>
    <n v="4954109"/>
    <n v="28557.4"/>
    <n v="15554.2"/>
    <n v="0.24860832672851882"/>
    <n v="25.560750489224272"/>
    <n v="0.68117860972539512"/>
    <n v="4.012598685853421E-3"/>
  </r>
  <r>
    <s v="AC2021003"/>
    <x v="0"/>
    <x v="1"/>
    <n v="53748"/>
    <n v="23545"/>
    <n v="30203"/>
    <n v="116402"/>
    <n v="49766"/>
    <n v="66636"/>
    <n v="56642"/>
    <n v="17414325"/>
    <n v="3061087"/>
    <n v="10749.6"/>
    <n v="6040.6"/>
    <n v="0.48660675933403208"/>
    <n v="17.577982494297082"/>
    <n v="0.42753560935379115"/>
    <n v="1.7343767272059065E-3"/>
  </r>
  <r>
    <s v="AC2021004"/>
    <x v="0"/>
    <x v="1"/>
    <n v="118840"/>
    <n v="64384"/>
    <n v="54456"/>
    <n v="125461"/>
    <n v="61576"/>
    <n v="63885"/>
    <n v="55300"/>
    <n v="11484531"/>
    <n v="6360011"/>
    <n v="23768"/>
    <n v="10891.2"/>
    <n v="0.44077442392456617"/>
    <n v="55.378935369672476"/>
    <n v="0.49079793720757847"/>
    <n v="4.7416825293083364E-3"/>
  </r>
  <r>
    <s v="AC2021005"/>
    <x v="0"/>
    <x v="1"/>
    <n v="102733"/>
    <n v="75318"/>
    <n v="27415"/>
    <n v="136889"/>
    <n v="38664"/>
    <n v="98225"/>
    <n v="94589"/>
    <n v="12072695"/>
    <n v="10433296"/>
    <n v="20546.599999999999"/>
    <n v="5483"/>
    <n v="0.69099051055965055"/>
    <n v="86.420604512911154"/>
    <n v="0.28244782268845559"/>
    <n v="2.2708268534904594E-3"/>
  </r>
  <r>
    <s v="AC2021006"/>
    <x v="0"/>
    <x v="1"/>
    <n v="76736"/>
    <n v="10854"/>
    <n v="65882"/>
    <n v="175966"/>
    <n v="53623"/>
    <n v="122343"/>
    <n v="112951"/>
    <n v="11609280"/>
    <n v="8500306"/>
    <n v="15347.2"/>
    <n v="13176.4"/>
    <n v="0.6418910471341055"/>
    <n v="73.219924060751396"/>
    <n v="0.30473500562608685"/>
    <n v="5.6749428043771878E-3"/>
  </r>
  <r>
    <s v="AC2021007"/>
    <x v="0"/>
    <x v="1"/>
    <n v="100859"/>
    <n v="36309"/>
    <n v="64550"/>
    <n v="172005"/>
    <n v="78734"/>
    <n v="93271"/>
    <n v="86340"/>
    <n v="16718070"/>
    <n v="13595511"/>
    <n v="20171.8"/>
    <n v="12910"/>
    <n v="0.50196215226301566"/>
    <n v="81.322251910657144"/>
    <n v="0.45774250748524753"/>
    <n v="3.8610916212218275E-3"/>
  </r>
  <r>
    <s v="AC2021008"/>
    <x v="0"/>
    <x v="1"/>
    <n v="168906"/>
    <n v="22688"/>
    <n v="146218"/>
    <n v="191560"/>
    <n v="52157"/>
    <n v="139403"/>
    <n v="135076"/>
    <n v="11659908"/>
    <n v="6080389"/>
    <n v="33781.199999999997"/>
    <n v="29243.599999999999"/>
    <n v="0.70513677176863643"/>
    <n v="52.147829982878079"/>
    <n v="0.27227500522029652"/>
    <n v="1.2540236166528929E-2"/>
  </r>
  <r>
    <s v="AC2021009"/>
    <x v="0"/>
    <x v="1"/>
    <n v="139045"/>
    <n v="44698"/>
    <n v="94347"/>
    <n v="194970"/>
    <n v="37671"/>
    <n v="157299"/>
    <n v="145960"/>
    <n v="6659066"/>
    <n v="5148815"/>
    <n v="27809"/>
    <n v="18869.400000000001"/>
    <n v="0.74862799405036673"/>
    <n v="77.320377962915515"/>
    <n v="0.19321434066779505"/>
    <n v="1.416820316843233E-2"/>
  </r>
  <r>
    <s v="AC2021010"/>
    <x v="0"/>
    <x v="1"/>
    <n v="65708"/>
    <n v="59811"/>
    <n v="5897"/>
    <n v="28708"/>
    <n v="71250"/>
    <n v="-42542"/>
    <n v="-58785"/>
    <n v="9135314"/>
    <n v="3910681"/>
    <n v="13141.6"/>
    <n v="1179.4000000000001"/>
    <n v="-2.0476870558729274"/>
    <n v="42.808391698413431"/>
    <n v="2.4818865821373834"/>
    <n v="6.4551694665339365E-4"/>
  </r>
  <r>
    <s v="AC2021011"/>
    <x v="0"/>
    <x v="1"/>
    <n v="84754"/>
    <n v="21411"/>
    <n v="63343"/>
    <n v="86254"/>
    <n v="82270"/>
    <n v="3984"/>
    <n v="-6696"/>
    <n v="19764960"/>
    <n v="3071295"/>
    <n v="16950.8"/>
    <n v="12668.6"/>
    <n v="-7.763118232197927E-2"/>
    <n v="15.539090390266411"/>
    <n v="0.95381083775824893"/>
    <n v="3.2048129619285846E-3"/>
  </r>
  <r>
    <s v="AC2021012"/>
    <x v="0"/>
    <x v="1"/>
    <n v="150689"/>
    <n v="21111"/>
    <n v="129578"/>
    <n v="187082"/>
    <n v="16802"/>
    <n v="170280"/>
    <n v="160125"/>
    <n v="8612600"/>
    <n v="3825816"/>
    <n v="30137.8"/>
    <n v="25915.599999999999"/>
    <n v="0.85590810446755972"/>
    <n v="44.421150407542434"/>
    <n v="8.9810885066441457E-2"/>
    <n v="1.5045166384134872E-2"/>
  </r>
  <r>
    <s v="AC2021013"/>
    <x v="0"/>
    <x v="1"/>
    <n v="162561"/>
    <n v="57254"/>
    <n v="105307"/>
    <n v="147225"/>
    <n v="75713"/>
    <n v="71512"/>
    <n v="52866"/>
    <n v="18228175"/>
    <n v="6504473"/>
    <n v="32512.2"/>
    <n v="21061.4"/>
    <n v="0.3590830361691289"/>
    <n v="35.683621646160404"/>
    <n v="0.51426727797588723"/>
    <n v="5.7771554201119972E-3"/>
  </r>
  <r>
    <s v="AC2021014"/>
    <x v="0"/>
    <x v="1"/>
    <n v="157512"/>
    <n v="26371"/>
    <n v="131141"/>
    <n v="228512"/>
    <n v="17049"/>
    <n v="211463"/>
    <n v="204040"/>
    <n v="7472189"/>
    <n v="14529867"/>
    <n v="31502.400000000001"/>
    <n v="26228.2"/>
    <n v="0.89290715586052372"/>
    <n v="194.45261622798887"/>
    <n v="7.4608773281053073E-2"/>
    <n v="1.7550546432912765E-2"/>
  </r>
  <r>
    <s v="AC2021015"/>
    <x v="0"/>
    <x v="1"/>
    <n v="70932"/>
    <n v="39855"/>
    <n v="31077"/>
    <n v="112511"/>
    <n v="87694"/>
    <n v="24817"/>
    <n v="12569"/>
    <n v="11561000"/>
    <n v="9671458"/>
    <n v="14186.4"/>
    <n v="6215.4"/>
    <n v="0.11171352134457964"/>
    <n v="83.655894818787303"/>
    <n v="0.77942601167885806"/>
    <n v="2.6880892656344609E-3"/>
  </r>
  <r>
    <s v="AC2021016"/>
    <x v="0"/>
    <x v="1"/>
    <n v="65151"/>
    <n v="61407"/>
    <n v="3744"/>
    <n v="90434"/>
    <n v="19499"/>
    <n v="70935"/>
    <n v="62640"/>
    <n v="14295925"/>
    <n v="13873975"/>
    <n v="13030.2"/>
    <n v="748.8"/>
    <n v="0.69265984032554129"/>
    <n v="97.048459613491261"/>
    <n v="0.21561580821372492"/>
    <n v="2.6189281211254258E-4"/>
  </r>
  <r>
    <s v="AC2021017"/>
    <x v="0"/>
    <x v="1"/>
    <n v="109040"/>
    <n v="22183"/>
    <n v="86857"/>
    <n v="136156"/>
    <n v="27874"/>
    <n v="108282"/>
    <n v="100743"/>
    <n v="5501157"/>
    <n v="7378727"/>
    <n v="21808"/>
    <n v="17371.400000000001"/>
    <n v="0.73990863421369601"/>
    <n v="134.13045655668435"/>
    <n v="0.20472105526014278"/>
    <n v="1.578886041609065E-2"/>
  </r>
  <r>
    <s v="AC2021018"/>
    <x v="0"/>
    <x v="1"/>
    <n v="176063"/>
    <n v="12557"/>
    <n v="163506"/>
    <n v="221866"/>
    <n v="97018"/>
    <n v="124848"/>
    <n v="120648"/>
    <n v="9962140"/>
    <n v="14471761"/>
    <n v="35212.6"/>
    <n v="32701.200000000001"/>
    <n v="0.54378769166974661"/>
    <n v="145.26759310750501"/>
    <n v="0.4372819629866676"/>
    <n v="1.6412738628447301E-2"/>
  </r>
  <r>
    <s v="AC2021019"/>
    <x v="0"/>
    <x v="1"/>
    <n v="71357"/>
    <n v="12869"/>
    <n v="58488"/>
    <n v="139623"/>
    <n v="65108"/>
    <n v="74515"/>
    <n v="58523"/>
    <n v="5618467"/>
    <n v="8333152"/>
    <n v="14271.4"/>
    <n v="11697.6"/>
    <n v="0.41915014001991074"/>
    <n v="148.31718331708632"/>
    <n v="0.46631285676428669"/>
    <n v="1.0409957022084493E-2"/>
  </r>
  <r>
    <s v="AC2021020"/>
    <x v="0"/>
    <x v="1"/>
    <n v="88467"/>
    <n v="33328"/>
    <n v="55139"/>
    <n v="166551"/>
    <n v="18987"/>
    <n v="147564"/>
    <n v="132118"/>
    <n v="14405634"/>
    <n v="8853584"/>
    <n v="17693.400000000001"/>
    <n v="11027.8"/>
    <n v="0.79325852141386122"/>
    <n v="61.45917631948722"/>
    <n v="0.11400111677504188"/>
    <n v="3.8275996738498285E-3"/>
  </r>
  <r>
    <s v="AC2022001"/>
    <x v="0"/>
    <x v="2"/>
    <n v="120271"/>
    <n v="54064"/>
    <n v="66207"/>
    <n v="156298"/>
    <n v="55818"/>
    <n v="100480"/>
    <n v="85723"/>
    <n v="19962038"/>
    <n v="4983509"/>
    <n v="24054.2"/>
    <n v="13241.4"/>
    <n v="0.54845871348321795"/>
    <n v="24.9649309354085"/>
    <n v="0.3571254910491497"/>
    <n v="3.3166453244904155E-3"/>
  </r>
  <r>
    <s v="AC2022002"/>
    <x v="0"/>
    <x v="2"/>
    <n v="187965"/>
    <n v="57333"/>
    <n v="130632"/>
    <n v="154068"/>
    <n v="89290"/>
    <n v="64778"/>
    <n v="52101"/>
    <n v="14587994"/>
    <n v="6438618"/>
    <n v="37593"/>
    <n v="26126.400000000001"/>
    <n v="0.33816886050315448"/>
    <n v="44.136417933815984"/>
    <n v="0.57954928992392973"/>
    <n v="8.9547610178616743E-3"/>
  </r>
  <r>
    <s v="AC2022003"/>
    <x v="0"/>
    <x v="2"/>
    <n v="99377"/>
    <n v="58404"/>
    <n v="40973"/>
    <n v="115018"/>
    <n v="54790"/>
    <n v="60228"/>
    <n v="49077"/>
    <n v="8806688"/>
    <n v="10265795"/>
    <n v="19875.400000000001"/>
    <n v="8194.6"/>
    <n v="0.42668973551965778"/>
    <n v="116.56816955477474"/>
    <n v="0.47636022187831467"/>
    <n v="4.6524868372763975E-3"/>
  </r>
  <r>
    <s v="AC2022004"/>
    <x v="0"/>
    <x v="2"/>
    <n v="152946"/>
    <n v="66491"/>
    <n v="86455"/>
    <n v="125044"/>
    <n v="58484"/>
    <n v="66560"/>
    <n v="47107"/>
    <n v="8444084"/>
    <n v="5927109"/>
    <n v="30589.200000000001"/>
    <n v="17291"/>
    <n v="0.37672339336553534"/>
    <n v="70.192444793301448"/>
    <n v="0.46770736700681359"/>
    <n v="1.0238529128795972E-2"/>
  </r>
  <r>
    <s v="AC2022005"/>
    <x v="0"/>
    <x v="2"/>
    <n v="113208"/>
    <n v="43828"/>
    <n v="69380"/>
    <n v="108091"/>
    <n v="18420"/>
    <n v="89671"/>
    <n v="87370"/>
    <n v="12778484"/>
    <n v="11503902"/>
    <n v="22641.599999999999"/>
    <n v="13876"/>
    <n v="0.8083004135404428"/>
    <n v="90.025561717649765"/>
    <n v="0.17041196769388756"/>
    <n v="5.4294390476992416E-3"/>
  </r>
  <r>
    <s v="AC2022006"/>
    <x v="0"/>
    <x v="2"/>
    <n v="174019"/>
    <n v="75726"/>
    <n v="98293"/>
    <n v="128785"/>
    <n v="21102"/>
    <n v="107683"/>
    <n v="88115"/>
    <n v="7215167"/>
    <n v="6886402"/>
    <n v="34803.800000000003"/>
    <n v="19658.599999999999"/>
    <n v="0.68420235275847341"/>
    <n v="95.443418010976046"/>
    <n v="0.16385448615910239"/>
    <n v="1.3623108099923398E-2"/>
  </r>
  <r>
    <s v="AC2022007"/>
    <x v="0"/>
    <x v="2"/>
    <n v="76641"/>
    <n v="44584"/>
    <n v="32057"/>
    <n v="84802"/>
    <n v="38093"/>
    <n v="46709"/>
    <n v="44140"/>
    <n v="6414466"/>
    <n v="3445101"/>
    <n v="15328.2"/>
    <n v="6411.4"/>
    <n v="0.5205065918256645"/>
    <n v="53.708305570565031"/>
    <n v="0.44919931133699675"/>
    <n v="4.9976100894447021E-3"/>
  </r>
  <r>
    <s v="AC2022008"/>
    <x v="0"/>
    <x v="2"/>
    <n v="86631"/>
    <n v="14014"/>
    <n v="72617"/>
    <n v="103710"/>
    <n v="33070"/>
    <n v="70640"/>
    <n v="65631"/>
    <n v="6105534"/>
    <n v="14616410"/>
    <n v="17326.2"/>
    <n v="14523.4"/>
    <n v="0.63283193520393399"/>
    <n v="239.39609541114666"/>
    <n v="0.31886992575450779"/>
    <n v="1.1893636166795566E-2"/>
  </r>
  <r>
    <s v="AC2022009"/>
    <x v="0"/>
    <x v="2"/>
    <n v="60729"/>
    <n v="55017"/>
    <n v="5712"/>
    <n v="92032"/>
    <n v="42751"/>
    <n v="49281"/>
    <n v="39185"/>
    <n v="19024490"/>
    <n v="11073461"/>
    <n v="12145.8"/>
    <n v="1142.4000000000001"/>
    <n v="0.42577581710709317"/>
    <n v="58.206348764145588"/>
    <n v="0.46452320931849789"/>
    <n v="3.0024457948675629E-4"/>
  </r>
  <r>
    <s v="AC2022010"/>
    <x v="0"/>
    <x v="2"/>
    <n v="155510"/>
    <n v="64748"/>
    <n v="90762"/>
    <n v="116563"/>
    <n v="34190"/>
    <n v="82373"/>
    <n v="63452"/>
    <n v="11526818"/>
    <n v="12881393"/>
    <n v="31102"/>
    <n v="18152.400000000001"/>
    <n v="0.54435798666815371"/>
    <n v="111.75150852559656"/>
    <n v="0.29331777665296876"/>
    <n v="7.873985691454484E-3"/>
  </r>
  <r>
    <s v="AC2022011"/>
    <x v="0"/>
    <x v="2"/>
    <n v="79592"/>
    <n v="20647"/>
    <n v="58945"/>
    <n v="87661"/>
    <n v="85316"/>
    <n v="2345"/>
    <n v="-2023"/>
    <n v="7699015"/>
    <n v="14803135"/>
    <n v="15918.4"/>
    <n v="11789"/>
    <n v="-2.3077537331310388E-2"/>
    <n v="192.27310246830277"/>
    <n v="0.97324922143256409"/>
    <n v="7.656174198907263E-3"/>
  </r>
  <r>
    <s v="AC2022012"/>
    <x v="0"/>
    <x v="2"/>
    <n v="120031"/>
    <n v="65766"/>
    <n v="54265"/>
    <n v="87668"/>
    <n v="47097"/>
    <n v="40571"/>
    <n v="25450"/>
    <n v="9183839"/>
    <n v="3666326"/>
    <n v="24006.2"/>
    <n v="10853"/>
    <n v="0.29029976730391932"/>
    <n v="39.921496881641758"/>
    <n v="0.53721996623625501"/>
    <n v="5.908749053636502E-3"/>
  </r>
  <r>
    <s v="AC2022013"/>
    <x v="0"/>
    <x v="2"/>
    <n v="174862"/>
    <n v="62921"/>
    <n v="111941"/>
    <n v="181667"/>
    <n v="65300"/>
    <n v="116367"/>
    <n v="104460"/>
    <n v="14827141"/>
    <n v="13669838"/>
    <n v="34972.400000000001"/>
    <n v="22388.2"/>
    <n v="0.57500811925115736"/>
    <n v="92.194698897110371"/>
    <n v="0.35944888174517109"/>
    <n v="7.549735987537989E-3"/>
  </r>
  <r>
    <s v="AC2022014"/>
    <x v="0"/>
    <x v="2"/>
    <n v="145285"/>
    <n v="25338"/>
    <n v="119947"/>
    <n v="207974"/>
    <n v="95135"/>
    <n v="112839"/>
    <n v="107788"/>
    <n v="6752683"/>
    <n v="10716868"/>
    <n v="29057"/>
    <n v="23989.4"/>
    <n v="0.51827632300191373"/>
    <n v="158.70533238417974"/>
    <n v="0.45743698731572213"/>
    <n v="1.776286551582534E-2"/>
  </r>
  <r>
    <s v="AC2022015"/>
    <x v="0"/>
    <x v="2"/>
    <n v="137235"/>
    <n v="64021"/>
    <n v="73214"/>
    <n v="159626"/>
    <n v="73335"/>
    <n v="86291"/>
    <n v="80149"/>
    <n v="6260386"/>
    <n v="6054390"/>
    <n v="27447"/>
    <n v="14642.8"/>
    <n v="0.50210492025108688"/>
    <n v="96.709531968156597"/>
    <n v="0.4594176387305326"/>
    <n v="1.1694806039116438E-2"/>
  </r>
  <r>
    <s v="AC2022016"/>
    <x v="0"/>
    <x v="2"/>
    <n v="123523"/>
    <n v="27019"/>
    <n v="96504"/>
    <n v="200117"/>
    <n v="88847"/>
    <n v="111270"/>
    <n v="92056"/>
    <n v="11319707"/>
    <n v="10967801"/>
    <n v="24704.6"/>
    <n v="19300.8"/>
    <n v="0.46001089362722808"/>
    <n v="96.891209286600784"/>
    <n v="0.4439752744644383"/>
    <n v="8.5253090031393915E-3"/>
  </r>
  <r>
    <s v="AC2022017"/>
    <x v="0"/>
    <x v="2"/>
    <n v="162566"/>
    <n v="35945"/>
    <n v="126621"/>
    <n v="237473"/>
    <n v="47217"/>
    <n v="190256"/>
    <n v="179948"/>
    <n v="16802429"/>
    <n v="3183062"/>
    <n v="32513.200000000001"/>
    <n v="25324.2"/>
    <n v="0.75776193504103628"/>
    <n v="18.944058623904915"/>
    <n v="0.19883102500073693"/>
    <n v="7.5358747238271325E-3"/>
  </r>
  <r>
    <s v="AC2022018"/>
    <x v="0"/>
    <x v="2"/>
    <n v="182222"/>
    <n v="76617"/>
    <n v="105605"/>
    <n v="220446"/>
    <n v="31896"/>
    <n v="188550"/>
    <n v="173143"/>
    <n v="15100349"/>
    <n v="3529525"/>
    <n v="36444.400000000001"/>
    <n v="21121"/>
    <n v="0.78542137303466608"/>
    <n v="23.373797519514284"/>
    <n v="0.14468849514166734"/>
    <n v="6.9935469703382349E-3"/>
  </r>
  <r>
    <s v="AC2022019"/>
    <x v="0"/>
    <x v="2"/>
    <n v="70056"/>
    <n v="55543"/>
    <n v="14513"/>
    <n v="91069"/>
    <n v="18343"/>
    <n v="72726"/>
    <n v="57226"/>
    <n v="8699391"/>
    <n v="11929860"/>
    <n v="14011.2"/>
    <n v="2902.6"/>
    <n v="0.62838067838671774"/>
    <n v="137.13442699609661"/>
    <n v="0.20141870449878663"/>
    <n v="1.6682776989791583E-3"/>
  </r>
  <r>
    <s v="AC2022020"/>
    <x v="0"/>
    <x v="2"/>
    <n v="163429"/>
    <n v="69638"/>
    <n v="93791"/>
    <n v="187457"/>
    <n v="82215"/>
    <n v="105242"/>
    <n v="99736"/>
    <n v="5144356"/>
    <n v="14487928"/>
    <n v="32685.8"/>
    <n v="18758.2"/>
    <n v="0.53204734952549115"/>
    <n v="281.62763230227455"/>
    <n v="0.43858058114660964"/>
    <n v="1.8231825324685928E-2"/>
  </r>
  <r>
    <s v="AC2023001"/>
    <x v="0"/>
    <x v="3"/>
    <n v="143468"/>
    <n v="71389"/>
    <n v="72079"/>
    <n v="101514"/>
    <n v="69340"/>
    <n v="32174"/>
    <n v="18864"/>
    <n v="12156720"/>
    <n v="5288627"/>
    <n v="28693.599999999999"/>
    <n v="14415.8"/>
    <n v="0.18582658549559666"/>
    <n v="43.503732914799386"/>
    <n v="0.68305849439486177"/>
    <n v="5.9291486519390101E-3"/>
  </r>
  <r>
    <s v="AC2023002"/>
    <x v="0"/>
    <x v="3"/>
    <n v="93919"/>
    <n v="45247"/>
    <n v="48672"/>
    <n v="163430"/>
    <n v="77752"/>
    <n v="85678"/>
    <n v="79226"/>
    <n v="5288790"/>
    <n v="8084921"/>
    <n v="18783.8"/>
    <n v="9734.4"/>
    <n v="0.48477023802239488"/>
    <n v="152.86901162647789"/>
    <n v="0.47575108609190481"/>
    <n v="9.2028611459331906E-3"/>
  </r>
  <r>
    <s v="AC2023003"/>
    <x v="0"/>
    <x v="3"/>
    <n v="73049"/>
    <n v="78385"/>
    <n v="-5336"/>
    <n v="54822"/>
    <n v="80417"/>
    <n v="-25595"/>
    <n v="-39517"/>
    <n v="18470137"/>
    <n v="7466271"/>
    <n v="14609.8"/>
    <n v="-1067.2"/>
    <n v="-0.72082375688592171"/>
    <n v="40.423473848623864"/>
    <n v="1.4668746123818905"/>
    <n v="-2.8889877752395662E-4"/>
  </r>
  <r>
    <s v="AC2023004"/>
    <x v="0"/>
    <x v="3"/>
    <n v="91975"/>
    <n v="19540"/>
    <n v="72435"/>
    <n v="108799"/>
    <n v="19611"/>
    <n v="89188"/>
    <n v="81310"/>
    <n v="17220673"/>
    <n v="3049115"/>
    <n v="18395"/>
    <n v="14487"/>
    <n v="0.74734142777047585"/>
    <n v="17.706131461877245"/>
    <n v="0.18024981847259625"/>
    <n v="4.2062816011894542E-3"/>
  </r>
  <r>
    <s v="AC2023005"/>
    <x v="0"/>
    <x v="3"/>
    <n v="141007"/>
    <n v="70890"/>
    <n v="70117"/>
    <n v="156504"/>
    <n v="33071"/>
    <n v="123433"/>
    <n v="114600"/>
    <n v="18119138"/>
    <n v="14438459"/>
    <n v="28201.4"/>
    <n v="14023.4"/>
    <n v="0.73224965496089556"/>
    <n v="79.686235625557899"/>
    <n v="0.21131089301231917"/>
    <n v="3.8697757034578577E-3"/>
  </r>
  <r>
    <s v="AC2023006"/>
    <x v="0"/>
    <x v="3"/>
    <n v="141680"/>
    <n v="14000"/>
    <n v="127680"/>
    <n v="218268"/>
    <n v="53304"/>
    <n v="164964"/>
    <n v="149485"/>
    <n v="17914505"/>
    <n v="5055723"/>
    <n v="28336"/>
    <n v="25536"/>
    <n v="0.68486906005461179"/>
    <n v="28.221393781184577"/>
    <n v="0.24421353565341691"/>
    <n v="7.1271854846114919E-3"/>
  </r>
  <r>
    <s v="AC2023007"/>
    <x v="0"/>
    <x v="3"/>
    <n v="158940"/>
    <n v="48494"/>
    <n v="110446"/>
    <n v="133819"/>
    <n v="27161"/>
    <n v="106658"/>
    <n v="102576"/>
    <n v="7648790"/>
    <n v="6763024"/>
    <n v="31788"/>
    <n v="22089.200000000001"/>
    <n v="0.76652792204395492"/>
    <n v="88.419527794592341"/>
    <n v="0.20296818837384825"/>
    <n v="1.4439669542502802E-2"/>
  </r>
  <r>
    <s v="AC2023008"/>
    <x v="0"/>
    <x v="3"/>
    <n v="144297"/>
    <n v="35351"/>
    <n v="108946"/>
    <n v="217614"/>
    <n v="30305"/>
    <n v="187309"/>
    <n v="175492"/>
    <n v="8353597"/>
    <n v="11454561"/>
    <n v="28859.4"/>
    <n v="21789.200000000001"/>
    <n v="0.806437085849256"/>
    <n v="137.12130235633825"/>
    <n v="0.13926034170595641"/>
    <n v="1.304180702037697E-2"/>
  </r>
  <r>
    <s v="AC2023009"/>
    <x v="0"/>
    <x v="3"/>
    <n v="107458"/>
    <n v="30358"/>
    <n v="77100"/>
    <n v="100367"/>
    <n v="97745"/>
    <n v="2622"/>
    <n v="-5123"/>
    <n v="5157164"/>
    <n v="13617244"/>
    <n v="21491.599999999999"/>
    <n v="15420"/>
    <n v="-5.1042673388663605E-2"/>
    <n v="264.04520003629904"/>
    <n v="0.97387587553678001"/>
    <n v="1.4950077212979846E-2"/>
  </r>
  <r>
    <s v="AC2023010"/>
    <x v="0"/>
    <x v="3"/>
    <n v="57543"/>
    <n v="43496"/>
    <n v="14047"/>
    <n v="94739"/>
    <n v="59425"/>
    <n v="35314"/>
    <n v="27326"/>
    <n v="7640328"/>
    <n v="12079703"/>
    <n v="11508.6"/>
    <n v="2809.4"/>
    <n v="0.28843454121322792"/>
    <n v="158.10450807871075"/>
    <n v="0.62724960153685383"/>
    <n v="1.8385336336345769E-3"/>
  </r>
  <r>
    <s v="AC2023011"/>
    <x v="0"/>
    <x v="3"/>
    <n v="97295"/>
    <n v="27955"/>
    <n v="69340"/>
    <n v="127181"/>
    <n v="85640"/>
    <n v="41541"/>
    <n v="37398"/>
    <n v="9122263"/>
    <n v="7594877"/>
    <n v="19459"/>
    <n v="13868"/>
    <n v="0.2940533570265999"/>
    <n v="83.256501155469863"/>
    <n v="0.67337102240114477"/>
    <n v="7.6011840483002956E-3"/>
  </r>
  <r>
    <s v="AC2023012"/>
    <x v="0"/>
    <x v="3"/>
    <n v="111476"/>
    <n v="54811"/>
    <n v="56665"/>
    <n v="112873"/>
    <n v="35150"/>
    <n v="77723"/>
    <n v="70079"/>
    <n v="11990102"/>
    <n v="5734296"/>
    <n v="22295.200000000001"/>
    <n v="11333"/>
    <n v="0.62086592896441128"/>
    <n v="47.825247858608712"/>
    <n v="0.31141194085388002"/>
    <n v="4.7259814803910756E-3"/>
  </r>
  <r>
    <s v="AC2023013"/>
    <x v="0"/>
    <x v="3"/>
    <n v="118450"/>
    <n v="31352"/>
    <n v="87098"/>
    <n v="162167"/>
    <n v="29397"/>
    <n v="132770"/>
    <n v="121983"/>
    <n v="14615215"/>
    <n v="6264908"/>
    <n v="23690"/>
    <n v="17419.599999999999"/>
    <n v="0.752206059185901"/>
    <n v="42.865657467235337"/>
    <n v="0.18127609192992408"/>
    <n v="5.9594060025801882E-3"/>
  </r>
  <r>
    <s v="AC2023014"/>
    <x v="0"/>
    <x v="3"/>
    <n v="116234"/>
    <n v="49954"/>
    <n v="66280"/>
    <n v="133560"/>
    <n v="94459"/>
    <n v="39101"/>
    <n v="20322"/>
    <n v="11486460"/>
    <n v="9197323"/>
    <n v="23246.799999999999"/>
    <n v="13256"/>
    <n v="0.15215633423180594"/>
    <n v="80.070996634298126"/>
    <n v="0.70724019167415397"/>
    <n v="5.7702721290980863E-3"/>
  </r>
  <r>
    <s v="AC2023015"/>
    <x v="0"/>
    <x v="3"/>
    <n v="109163"/>
    <n v="61934"/>
    <n v="47229"/>
    <n v="132124"/>
    <n v="47307"/>
    <n v="84817"/>
    <n v="77331"/>
    <n v="10382287"/>
    <n v="10990340"/>
    <n v="21832.6"/>
    <n v="9445.7999999999993"/>
    <n v="0.58529109018800518"/>
    <n v="105.85663833026385"/>
    <n v="0.35805001362356575"/>
    <n v="4.5489977304615063E-3"/>
  </r>
  <r>
    <s v="AC2023016"/>
    <x v="0"/>
    <x v="3"/>
    <n v="152795"/>
    <n v="21130"/>
    <n v="131665"/>
    <n v="239173"/>
    <n v="75566"/>
    <n v="163607"/>
    <n v="160440"/>
    <n v="7386488"/>
    <n v="3787494"/>
    <n v="30559"/>
    <n v="26333"/>
    <n v="0.67081150464308259"/>
    <n v="51.275978516447871"/>
    <n v="0.3159470341551931"/>
    <n v="1.7825115264520838E-2"/>
  </r>
  <r>
    <s v="AC2023017"/>
    <x v="0"/>
    <x v="3"/>
    <n v="134076"/>
    <n v="31545"/>
    <n v="102531"/>
    <n v="144220"/>
    <n v="26174"/>
    <n v="118046"/>
    <n v="111317"/>
    <n v="5533636"/>
    <n v="14426978"/>
    <n v="26815.200000000001"/>
    <n v="20506.2"/>
    <n v="0.77185549854389124"/>
    <n v="260.71425731652749"/>
    <n v="0.1814866176674525"/>
    <n v="1.8528685298418616E-2"/>
  </r>
  <r>
    <s v="AC2023018"/>
    <x v="0"/>
    <x v="3"/>
    <n v="88102"/>
    <n v="16801"/>
    <n v="71301"/>
    <n v="163568"/>
    <n v="63136"/>
    <n v="100432"/>
    <n v="81095"/>
    <n v="9426219"/>
    <n v="13923237"/>
    <n v="17620.400000000001"/>
    <n v="14260.2"/>
    <n v="0.49578768463269102"/>
    <n v="147.70754848789318"/>
    <n v="0.38599237014574977"/>
    <n v="7.5641145192998378E-3"/>
  </r>
  <r>
    <s v="AC2023019"/>
    <x v="0"/>
    <x v="3"/>
    <n v="51542"/>
    <n v="31677"/>
    <n v="19865"/>
    <n v="86597"/>
    <n v="65343"/>
    <n v="21254"/>
    <n v="12941"/>
    <n v="14106824"/>
    <n v="9646705"/>
    <n v="10308.4"/>
    <n v="3973"/>
    <n v="0.14943935702160582"/>
    <n v="68.383251963730459"/>
    <n v="0.75456424587456838"/>
    <n v="1.4081837272514352E-3"/>
  </r>
  <r>
    <s v="AC2023020"/>
    <x v="0"/>
    <x v="3"/>
    <n v="69065"/>
    <n v="64693"/>
    <n v="4372"/>
    <n v="51334"/>
    <n v="43295"/>
    <n v="8039"/>
    <n v="-7768"/>
    <n v="19837568"/>
    <n v="9243669"/>
    <n v="13813"/>
    <n v="874.4"/>
    <n v="-0.1513227100946741"/>
    <n v="46.596785452732917"/>
    <n v="0.8433981376865235"/>
    <n v="2.2038991876423562E-4"/>
  </r>
  <r>
    <s v="AC2024001"/>
    <x v="0"/>
    <x v="4"/>
    <n v="182396"/>
    <n v="45909"/>
    <n v="136487"/>
    <n v="245826"/>
    <n v="34870"/>
    <n v="210956"/>
    <n v="207146"/>
    <n v="17831595"/>
    <n v="11415398"/>
    <n v="36479.199999999997"/>
    <n v="27297.4"/>
    <n v="0.84265293337563973"/>
    <n v="64.017817811586681"/>
    <n v="0.14184829920350167"/>
    <n v="7.65422274339452E-3"/>
  </r>
  <r>
    <s v="AC2024002"/>
    <x v="0"/>
    <x v="4"/>
    <n v="168874"/>
    <n v="35289"/>
    <n v="133585"/>
    <n v="208714"/>
    <n v="30485"/>
    <n v="178229"/>
    <n v="164515"/>
    <n v="17276465"/>
    <n v="7984445"/>
    <n v="33774.800000000003"/>
    <n v="26717"/>
    <n v="0.78823174295926479"/>
    <n v="46.215733369065951"/>
    <n v="0.14606111712678593"/>
    <n v="7.7321952147039342E-3"/>
  </r>
  <r>
    <s v="AC2024003"/>
    <x v="0"/>
    <x v="4"/>
    <n v="173961"/>
    <n v="40355"/>
    <n v="133606"/>
    <n v="209377"/>
    <n v="72799"/>
    <n v="136578"/>
    <n v="121462"/>
    <n v="15642302"/>
    <n v="6319144"/>
    <n v="34792.199999999997"/>
    <n v="26721.200000000001"/>
    <n v="0.58011147356204362"/>
    <n v="40.397787998211513"/>
    <n v="0.34769339516756853"/>
    <n v="8.5413259506177536E-3"/>
  </r>
  <r>
    <s v="AC2024004"/>
    <x v="0"/>
    <x v="4"/>
    <n v="92918"/>
    <n v="62224"/>
    <n v="30694"/>
    <n v="89992"/>
    <n v="95219"/>
    <n v="-5227"/>
    <n v="-7731"/>
    <n v="9949499"/>
    <n v="5387312"/>
    <n v="18583.599999999999"/>
    <n v="6138.8"/>
    <n v="-8.5907636234331938E-2"/>
    <n v="54.146565570789043"/>
    <n v="1.0580829407058405"/>
    <n v="3.0849794547444047E-3"/>
  </r>
  <r>
    <s v="AC2024005"/>
    <x v="0"/>
    <x v="4"/>
    <n v="73960"/>
    <n v="43591"/>
    <n v="30369"/>
    <n v="133217"/>
    <n v="82641"/>
    <n v="50576"/>
    <n v="44949"/>
    <n v="10747372"/>
    <n v="7848287"/>
    <n v="14792"/>
    <n v="6073.8"/>
    <n v="0.33741189187566151"/>
    <n v="73.025173037650504"/>
    <n v="0.62034875428811642"/>
    <n v="2.8257140443263711E-3"/>
  </r>
  <r>
    <s v="AC2024006"/>
    <x v="0"/>
    <x v="4"/>
    <n v="84620"/>
    <n v="30559"/>
    <n v="54061"/>
    <n v="167106"/>
    <n v="76642"/>
    <n v="90464"/>
    <n v="77461"/>
    <n v="19963940"/>
    <n v="3423570"/>
    <n v="16924"/>
    <n v="10812.2"/>
    <n v="0.46354409775830907"/>
    <n v="17.148769230923357"/>
    <n v="0.45864301700716908"/>
    <n v="2.7079324021210241E-3"/>
  </r>
  <r>
    <s v="AC2024007"/>
    <x v="0"/>
    <x v="4"/>
    <n v="63843"/>
    <n v="27640"/>
    <n v="36203"/>
    <n v="108731"/>
    <n v="53413"/>
    <n v="55318"/>
    <n v="43730"/>
    <n v="11925877"/>
    <n v="12805685"/>
    <n v="12768.6"/>
    <n v="7240.6"/>
    <n v="0.40218520936991292"/>
    <n v="107.37730231495763"/>
    <n v="0.49123984880116989"/>
    <n v="3.0356677332828439E-3"/>
  </r>
  <r>
    <s v="AC2024008"/>
    <x v="0"/>
    <x v="4"/>
    <n v="188186"/>
    <n v="20975"/>
    <n v="167211"/>
    <n v="198234"/>
    <n v="36447"/>
    <n v="161787"/>
    <n v="159120"/>
    <n v="5160775"/>
    <n v="10349369"/>
    <n v="37637.199999999997"/>
    <n v="33442.199999999997"/>
    <n v="0.80268773267956051"/>
    <n v="200.53904694546847"/>
    <n v="0.1838584702926844"/>
    <n v="3.2400366224065183E-2"/>
  </r>
  <r>
    <s v="AC2024009"/>
    <x v="0"/>
    <x v="4"/>
    <n v="96427"/>
    <n v="71529"/>
    <n v="24898"/>
    <n v="129563"/>
    <n v="46921"/>
    <n v="82642"/>
    <n v="80103"/>
    <n v="9166500"/>
    <n v="10467048"/>
    <n v="19285.400000000001"/>
    <n v="4979.6000000000004"/>
    <n v="0.61825521175026821"/>
    <n v="114.18805432826051"/>
    <n v="0.36214814414609109"/>
    <n v="2.7161948399061801E-3"/>
  </r>
  <r>
    <s v="AC2024010"/>
    <x v="0"/>
    <x v="4"/>
    <n v="54835"/>
    <n v="30159"/>
    <n v="24676"/>
    <n v="92281"/>
    <n v="53088"/>
    <n v="39193"/>
    <n v="23977"/>
    <n v="9511732"/>
    <n v="8562067"/>
    <n v="10967"/>
    <n v="4935.2"/>
    <n v="0.25982596634193389"/>
    <n v="90.015856207891474"/>
    <n v="0.57528635363726011"/>
    <n v="2.5942698974277239E-3"/>
  </r>
  <r>
    <s v="AC2024011"/>
    <x v="0"/>
    <x v="4"/>
    <n v="147007"/>
    <n v="37532"/>
    <n v="109475"/>
    <n v="163824"/>
    <n v="60445"/>
    <n v="103379"/>
    <n v="95666"/>
    <n v="16066226"/>
    <n v="3575278"/>
    <n v="29401.4"/>
    <n v="21895"/>
    <n v="0.58395595272975875"/>
    <n v="22.253377986840221"/>
    <n v="0.36896303349936516"/>
    <n v="6.8139835702547696E-3"/>
  </r>
  <r>
    <s v="AC2024012"/>
    <x v="0"/>
    <x v="4"/>
    <n v="179473"/>
    <n v="75545"/>
    <n v="103928"/>
    <n v="208719"/>
    <n v="73141"/>
    <n v="135578"/>
    <n v="128454"/>
    <n v="17582006"/>
    <n v="7719607"/>
    <n v="35894.6"/>
    <n v="20785.599999999999"/>
    <n v="0.61543989766144913"/>
    <n v="43.906292603926993"/>
    <n v="0.35042808752437488"/>
    <n v="5.9110433701364904E-3"/>
  </r>
  <r>
    <s v="AC2024013"/>
    <x v="0"/>
    <x v="4"/>
    <n v="111813"/>
    <n v="37712"/>
    <n v="74101"/>
    <n v="102516"/>
    <n v="77292"/>
    <n v="25224"/>
    <n v="19066"/>
    <n v="15155224"/>
    <n v="8001045"/>
    <n v="22362.6"/>
    <n v="14820.2"/>
    <n v="0.18598072496000626"/>
    <n v="52.793973879897784"/>
    <n v="0.75395060283272852"/>
    <n v="4.8894691361869675E-3"/>
  </r>
  <r>
    <s v="AC2024014"/>
    <x v="0"/>
    <x v="4"/>
    <n v="56970"/>
    <n v="56540"/>
    <n v="430"/>
    <n v="40814"/>
    <n v="33017"/>
    <n v="7797"/>
    <n v="-4547"/>
    <n v="8251298"/>
    <n v="7465150"/>
    <n v="11394"/>
    <n v="86"/>
    <n v="-0.11140785024746411"/>
    <n v="90.472432337312256"/>
    <n v="0.80896261086881949"/>
    <n v="5.2113013007165658E-5"/>
  </r>
  <r>
    <s v="AC2024015"/>
    <x v="0"/>
    <x v="4"/>
    <n v="181456"/>
    <n v="10404"/>
    <n v="171052"/>
    <n v="231995"/>
    <n v="62926"/>
    <n v="169069"/>
    <n v="154306"/>
    <n v="6722320"/>
    <n v="5332517"/>
    <n v="36291.199999999997"/>
    <n v="34210.400000000001"/>
    <n v="0.66512640358628417"/>
    <n v="79.325545347439572"/>
    <n v="0.27123860428026464"/>
    <n v="2.5445381951469136E-2"/>
  </r>
  <r>
    <s v="AC2024016"/>
    <x v="0"/>
    <x v="4"/>
    <n v="130642"/>
    <n v="60612"/>
    <n v="70030"/>
    <n v="113604"/>
    <n v="38524"/>
    <n v="75080"/>
    <n v="69444"/>
    <n v="19428836"/>
    <n v="11551881"/>
    <n v="26128.400000000001"/>
    <n v="14006"/>
    <n v="0.61128129291222144"/>
    <n v="59.457401359505013"/>
    <n v="0.33910777789514451"/>
    <n v="3.6044362101774908E-3"/>
  </r>
  <r>
    <s v="AC2024017"/>
    <x v="0"/>
    <x v="4"/>
    <n v="194528"/>
    <n v="66397"/>
    <n v="128131"/>
    <n v="186896"/>
    <n v="49816"/>
    <n v="137080"/>
    <n v="122742"/>
    <n v="10558956"/>
    <n v="6031756"/>
    <n v="38905.599999999999"/>
    <n v="25626.2"/>
    <n v="0.6567395770910025"/>
    <n v="57.124549055796805"/>
    <n v="0.26654396027737354"/>
    <n v="1.2134817116389158E-2"/>
  </r>
  <r>
    <s v="AC2024018"/>
    <x v="0"/>
    <x v="4"/>
    <n v="107091"/>
    <n v="31949"/>
    <n v="75142"/>
    <n v="165222"/>
    <n v="52744"/>
    <n v="112478"/>
    <n v="97703"/>
    <n v="9040479"/>
    <n v="3092193"/>
    <n v="21418.2"/>
    <n v="15028.4"/>
    <n v="0.59134376777910935"/>
    <n v="34.203862428085948"/>
    <n v="0.31923109513260944"/>
    <n v="8.3117277303558813E-3"/>
  </r>
  <r>
    <s v="AC2024019"/>
    <x v="0"/>
    <x v="4"/>
    <n v="86187"/>
    <n v="17239"/>
    <n v="68948"/>
    <n v="103437"/>
    <n v="73017"/>
    <n v="30420"/>
    <n v="18063"/>
    <n v="18943554"/>
    <n v="5715514"/>
    <n v="17237.400000000001"/>
    <n v="13789.6"/>
    <n v="0.17462803445575567"/>
    <n v="30.17128676065748"/>
    <n v="0.70590794396589229"/>
    <n v="3.6396549454236517E-3"/>
  </r>
  <r>
    <s v="AC2024020"/>
    <x v="0"/>
    <x v="4"/>
    <n v="87131"/>
    <n v="52944"/>
    <n v="34187"/>
    <n v="128150"/>
    <n v="39285"/>
    <n v="88865"/>
    <n v="82007"/>
    <n v="9892472"/>
    <n v="3481680"/>
    <n v="17426.2"/>
    <n v="6837.4"/>
    <n v="0.63992976980101446"/>
    <n v="35.195247456854062"/>
    <n v="0.30655481857198597"/>
    <n v="3.4558601732711499E-3"/>
  </r>
  <r>
    <s v="GT2020001"/>
    <x v="1"/>
    <x v="0"/>
    <n v="69198"/>
    <n v="29758"/>
    <n v="39440"/>
    <n v="74694"/>
    <n v="59238"/>
    <n v="15456"/>
    <n v="12204"/>
    <n v="18409108"/>
    <n v="14349901"/>
    <n v="13839.6"/>
    <n v="7888"/>
    <n v="0.16338661739898788"/>
    <n v="77.950007137771152"/>
    <n v="0.79307574905614908"/>
    <n v="2.1424177640763475E-3"/>
  </r>
  <r>
    <s v="GT2020002"/>
    <x v="1"/>
    <x v="0"/>
    <n v="103682"/>
    <n v="69494"/>
    <n v="34188"/>
    <n v="135505"/>
    <n v="80215"/>
    <n v="55290"/>
    <n v="40239"/>
    <n v="17589861"/>
    <n v="14248945"/>
    <n v="20736.400000000001"/>
    <n v="6837.6"/>
    <n v="0.29695583188812219"/>
    <n v="81.006581007092677"/>
    <n v="0.59197077598612602"/>
    <n v="1.9436196795415267E-3"/>
  </r>
  <r>
    <s v="GT2020003"/>
    <x v="1"/>
    <x v="0"/>
    <n v="105393"/>
    <n v="16941"/>
    <n v="88452"/>
    <n v="134386"/>
    <n v="38386"/>
    <n v="96000"/>
    <n v="83791"/>
    <n v="7573619"/>
    <n v="5453752"/>
    <n v="21078.6"/>
    <n v="17690.400000000001"/>
    <n v="0.62350988942300534"/>
    <n v="72.00985420576346"/>
    <n v="0.28563987320107748"/>
    <n v="1.1678960877223954E-2"/>
  </r>
  <r>
    <s v="GT2020004"/>
    <x v="1"/>
    <x v="0"/>
    <n v="103413"/>
    <n v="66800"/>
    <n v="36613"/>
    <n v="153852"/>
    <n v="57318"/>
    <n v="96534"/>
    <n v="89897"/>
    <n v="9264694"/>
    <n v="3707689"/>
    <n v="20682.599999999999"/>
    <n v="7322.6"/>
    <n v="0.58430829628474112"/>
    <n v="40.019551644123382"/>
    <n v="0.37255284299196628"/>
    <n v="3.9518844335279715E-3"/>
  </r>
  <r>
    <s v="GT2020005"/>
    <x v="1"/>
    <x v="0"/>
    <n v="93088"/>
    <n v="49811"/>
    <n v="43277"/>
    <n v="118756"/>
    <n v="34963"/>
    <n v="83793"/>
    <n v="77629"/>
    <n v="19903841"/>
    <n v="4849396"/>
    <n v="18617.599999999999"/>
    <n v="8655.4"/>
    <n v="0.65368486644885315"/>
    <n v="24.364121477859474"/>
    <n v="0.29441038768567485"/>
    <n v="2.1743039446506835E-3"/>
  </r>
  <r>
    <s v="GT2020006"/>
    <x v="1"/>
    <x v="0"/>
    <n v="55569"/>
    <n v="79836"/>
    <n v="-24267"/>
    <n v="32319"/>
    <n v="27015"/>
    <n v="5304"/>
    <n v="-8930"/>
    <n v="12063410"/>
    <n v="12050222"/>
    <n v="11113.8"/>
    <n v="-4853.3999999999996"/>
    <n v="-0.27630805408583187"/>
    <n v="99.890677677373148"/>
    <n v="0.83588601132460782"/>
    <n v="-2.011620263258896E-3"/>
  </r>
  <r>
    <s v="GT2020007"/>
    <x v="1"/>
    <x v="0"/>
    <n v="198216"/>
    <n v="34214"/>
    <n v="164002"/>
    <n v="264721"/>
    <n v="86774"/>
    <n v="177947"/>
    <n v="169857"/>
    <n v="14055605"/>
    <n v="13114959"/>
    <n v="39643.199999999997"/>
    <n v="32800.400000000001"/>
    <n v="0.64164535492084118"/>
    <n v="93.30768045914779"/>
    <n v="0.32779416819972729"/>
    <n v="1.1668085436379295E-2"/>
  </r>
  <r>
    <s v="GT2020008"/>
    <x v="1"/>
    <x v="0"/>
    <n v="74071"/>
    <n v="68243"/>
    <n v="5828"/>
    <n v="67068"/>
    <n v="98807"/>
    <n v="-31739"/>
    <n v="-37005"/>
    <n v="6950367"/>
    <n v="4910705"/>
    <n v="14814.2"/>
    <n v="1165.5999999999999"/>
    <n v="-0.55175344426552153"/>
    <n v="70.653894966985192"/>
    <n v="1.4732361185662313"/>
    <n v="8.3851687256226905E-4"/>
  </r>
  <r>
    <s v="GT2020009"/>
    <x v="1"/>
    <x v="0"/>
    <n v="78732"/>
    <n v="21314"/>
    <n v="57418"/>
    <n v="101372"/>
    <n v="72108"/>
    <n v="29264"/>
    <n v="14373"/>
    <n v="10279548"/>
    <n v="5382357"/>
    <n v="15746.4"/>
    <n v="11483.6"/>
    <n v="0.14178471372765655"/>
    <n v="52.359860569744896"/>
    <n v="0.71132068026674034"/>
    <n v="5.5856541552216105E-3"/>
  </r>
  <r>
    <s v="GT2020010"/>
    <x v="1"/>
    <x v="0"/>
    <n v="129252"/>
    <n v="49749"/>
    <n v="79503"/>
    <n v="116410"/>
    <n v="33777"/>
    <n v="82633"/>
    <n v="70473"/>
    <n v="19677069"/>
    <n v="11480473"/>
    <n v="25850.400000000001"/>
    <n v="15900.6"/>
    <n v="0.60538613521175155"/>
    <n v="58.344426194775245"/>
    <n v="0.29015548492397558"/>
    <n v="4.040388332225699E-3"/>
  </r>
  <r>
    <s v="GT2020011"/>
    <x v="1"/>
    <x v="0"/>
    <n v="162428"/>
    <n v="33624"/>
    <n v="128804"/>
    <n v="172125"/>
    <n v="25488"/>
    <n v="146637"/>
    <n v="139397"/>
    <n v="6222869"/>
    <n v="13672477"/>
    <n v="32485.599999999999"/>
    <n v="25760.799999999999"/>
    <n v="0.80985911401597677"/>
    <n v="219.71339907685666"/>
    <n v="0.14807843137254903"/>
    <n v="2.0698491322893024E-2"/>
  </r>
  <r>
    <s v="GT2020012"/>
    <x v="1"/>
    <x v="0"/>
    <n v="168831"/>
    <n v="62796"/>
    <n v="106035"/>
    <n v="130467"/>
    <n v="79291"/>
    <n v="51176"/>
    <n v="35608"/>
    <n v="15676231"/>
    <n v="12302640"/>
    <n v="33766.199999999997"/>
    <n v="21207"/>
    <n v="0.2729272536350188"/>
    <n v="78.479578413969534"/>
    <n v="0.60774755302107042"/>
    <n v="6.7640621014069006E-3"/>
  </r>
  <r>
    <s v="GT2020013"/>
    <x v="1"/>
    <x v="0"/>
    <n v="100428"/>
    <n v="10302"/>
    <n v="90126"/>
    <n v="192684"/>
    <n v="15055"/>
    <n v="177629"/>
    <n v="162616"/>
    <n v="12479821"/>
    <n v="7583897"/>
    <n v="20085.599999999999"/>
    <n v="18025.2"/>
    <n v="0.8439517552054141"/>
    <n v="60.769277059342443"/>
    <n v="7.8133109132050405E-2"/>
    <n v="7.2217381964052212E-3"/>
  </r>
  <r>
    <s v="GT2020014"/>
    <x v="1"/>
    <x v="0"/>
    <n v="78699"/>
    <n v="77661"/>
    <n v="1038"/>
    <n v="65285"/>
    <n v="31748"/>
    <n v="33537"/>
    <n v="24728"/>
    <n v="11558221"/>
    <n v="13466615"/>
    <n v="15739.8"/>
    <n v="207.6"/>
    <n v="0.37877000842459985"/>
    <n v="116.51113956031816"/>
    <n v="0.48629853718312016"/>
    <n v="8.9806208066102908E-5"/>
  </r>
  <r>
    <s v="GT2020015"/>
    <x v="1"/>
    <x v="0"/>
    <n v="186198"/>
    <n v="15122"/>
    <n v="171076"/>
    <n v="209106"/>
    <n v="97838"/>
    <n v="111268"/>
    <n v="103398"/>
    <n v="18436411"/>
    <n v="10315436"/>
    <n v="37239.599999999999"/>
    <n v="34215.199999999997"/>
    <n v="0.49447648561016899"/>
    <n v="55.951432195778239"/>
    <n v="0.46788710032232456"/>
    <n v="9.2792463782674396E-3"/>
  </r>
  <r>
    <s v="GT2020016"/>
    <x v="1"/>
    <x v="0"/>
    <n v="168033"/>
    <n v="44674"/>
    <n v="123359"/>
    <n v="179213"/>
    <n v="61271"/>
    <n v="117942"/>
    <n v="107790"/>
    <n v="18014646"/>
    <n v="12810404"/>
    <n v="33606.6"/>
    <n v="24671.8"/>
    <n v="0.60146306350543766"/>
    <n v="71.111050419752914"/>
    <n v="0.34188926026571731"/>
    <n v="6.8477060276399548E-3"/>
  </r>
  <r>
    <s v="GT2020017"/>
    <x v="1"/>
    <x v="0"/>
    <n v="191339"/>
    <n v="11062"/>
    <n v="180277"/>
    <n v="250725"/>
    <n v="21229"/>
    <n v="229496"/>
    <n v="210987"/>
    <n v="16057963"/>
    <n v="14801112"/>
    <n v="38267.800000000003"/>
    <n v="36055.4"/>
    <n v="0.84150762787915045"/>
    <n v="92.173035895026032"/>
    <n v="8.467045567853225E-2"/>
    <n v="1.1226641884777042E-2"/>
  </r>
  <r>
    <s v="GT2020018"/>
    <x v="1"/>
    <x v="0"/>
    <n v="154592"/>
    <n v="13596"/>
    <n v="140996"/>
    <n v="167164"/>
    <n v="22561"/>
    <n v="144603"/>
    <n v="134345"/>
    <n v="6655016"/>
    <n v="13086508"/>
    <n v="30918.400000000001"/>
    <n v="28199.200000000001"/>
    <n v="0.80367184321983198"/>
    <n v="196.64127028394822"/>
    <n v="0.13496326960350313"/>
    <n v="2.1186425397023839E-2"/>
  </r>
  <r>
    <s v="GT2020019"/>
    <x v="1"/>
    <x v="0"/>
    <n v="174049"/>
    <n v="36734"/>
    <n v="137315"/>
    <n v="163686"/>
    <n v="41069"/>
    <n v="122617"/>
    <n v="106248"/>
    <n v="18120110"/>
    <n v="5568103"/>
    <n v="34809.800000000003"/>
    <n v="27463"/>
    <n v="0.6490964407463069"/>
    <n v="30.728858710018869"/>
    <n v="0.25090111555050526"/>
    <n v="7.5780445041448421E-3"/>
  </r>
  <r>
    <s v="GT2020020"/>
    <x v="1"/>
    <x v="0"/>
    <n v="131264"/>
    <n v="33275"/>
    <n v="97989"/>
    <n v="190263"/>
    <n v="96449"/>
    <n v="93814"/>
    <n v="89342"/>
    <n v="11482532"/>
    <n v="8196467"/>
    <n v="26252.799999999999"/>
    <n v="19597.8"/>
    <n v="0.46957106741720672"/>
    <n v="71.382052320864418"/>
    <n v="0.50692462538696437"/>
    <n v="8.5337449963126602E-3"/>
  </r>
  <r>
    <s v="GT2021001"/>
    <x v="1"/>
    <x v="1"/>
    <n v="98447"/>
    <n v="44529"/>
    <n v="53918"/>
    <n v="149621"/>
    <n v="91090"/>
    <n v="58531"/>
    <n v="39271"/>
    <n v="14549765"/>
    <n v="4314532"/>
    <n v="19689.400000000001"/>
    <n v="10783.6"/>
    <n v="0.2624698404635713"/>
    <n v="29.653619835096993"/>
    <n v="0.60880491374873846"/>
    <n v="3.7057643199048234E-3"/>
  </r>
  <r>
    <s v="GT2021002"/>
    <x v="1"/>
    <x v="1"/>
    <n v="166148"/>
    <n v="37285"/>
    <n v="128863"/>
    <n v="241299"/>
    <n v="16605"/>
    <n v="224694"/>
    <n v="217072"/>
    <n v="19752367"/>
    <n v="5255363"/>
    <n v="33229.599999999999"/>
    <n v="25772.6"/>
    <n v="0.89959759468543177"/>
    <n v="26.606244203542794"/>
    <n v="6.881503860355824E-2"/>
    <n v="6.523926980498084E-3"/>
  </r>
  <r>
    <s v="GT2021003"/>
    <x v="1"/>
    <x v="1"/>
    <n v="126125"/>
    <n v="23918"/>
    <n v="102207"/>
    <n v="207862"/>
    <n v="42446"/>
    <n v="165416"/>
    <n v="150370"/>
    <n v="8668866"/>
    <n v="7612338"/>
    <n v="25225"/>
    <n v="20441.400000000001"/>
    <n v="0.72341264877659217"/>
    <n v="87.812385149337871"/>
    <n v="0.20420278838845002"/>
    <n v="1.1790123414065923E-2"/>
  </r>
  <r>
    <s v="GT2021004"/>
    <x v="1"/>
    <x v="1"/>
    <n v="54324"/>
    <n v="19111"/>
    <n v="35213"/>
    <n v="93323"/>
    <n v="31389"/>
    <n v="61934"/>
    <n v="51275"/>
    <n v="8094235"/>
    <n v="12560067"/>
    <n v="10864.8"/>
    <n v="7042.6"/>
    <n v="0.54943583039550803"/>
    <n v="155.17299658337075"/>
    <n v="0.33634795280906099"/>
    <n v="4.3503802397632388E-3"/>
  </r>
  <r>
    <s v="GT2021005"/>
    <x v="1"/>
    <x v="1"/>
    <n v="181189"/>
    <n v="23234"/>
    <n v="157955"/>
    <n v="231396"/>
    <n v="15846"/>
    <n v="215550"/>
    <n v="202596"/>
    <n v="10584263"/>
    <n v="3244761"/>
    <n v="36237.800000000003"/>
    <n v="31591"/>
    <n v="0.87553803868692626"/>
    <n v="30.65646611389003"/>
    <n v="6.848000829746409E-2"/>
    <n v="1.4923570965687454E-2"/>
  </r>
  <r>
    <s v="GT2021006"/>
    <x v="1"/>
    <x v="1"/>
    <n v="96514"/>
    <n v="16469"/>
    <n v="80045"/>
    <n v="130150"/>
    <n v="57101"/>
    <n v="73049"/>
    <n v="54441"/>
    <n v="13040979"/>
    <n v="3954480"/>
    <n v="19302.8"/>
    <n v="16009"/>
    <n v="0.41829427583557433"/>
    <n v="30.323490283973314"/>
    <n v="0.43873223203995387"/>
    <n v="6.1379594277392825E-3"/>
  </r>
  <r>
    <s v="GT2021007"/>
    <x v="1"/>
    <x v="1"/>
    <n v="177534"/>
    <n v="77584"/>
    <n v="99950"/>
    <n v="198427"/>
    <n v="57533"/>
    <n v="140894"/>
    <n v="137066"/>
    <n v="14439101"/>
    <n v="11671370"/>
    <n v="35506.800000000003"/>
    <n v="19990"/>
    <n v="0.69076284981378544"/>
    <n v="80.831694438594198"/>
    <n v="0.28994542073407348"/>
    <n v="6.9221761105487112E-3"/>
  </r>
  <r>
    <s v="GT2021008"/>
    <x v="1"/>
    <x v="1"/>
    <n v="82254"/>
    <n v="57362"/>
    <n v="24892"/>
    <n v="65020"/>
    <n v="74383"/>
    <n v="-9363"/>
    <n v="-11372"/>
    <n v="12422212"/>
    <n v="6757974"/>
    <n v="16450.8"/>
    <n v="4978.3999999999996"/>
    <n v="-0.17490003075976623"/>
    <n v="54.402339937524815"/>
    <n v="1.1440018455859735"/>
    <n v="2.0038299137061901E-3"/>
  </r>
  <r>
    <s v="GT2021009"/>
    <x v="1"/>
    <x v="1"/>
    <n v="190937"/>
    <n v="12219"/>
    <n v="178718"/>
    <n v="238527"/>
    <n v="20287"/>
    <n v="218240"/>
    <n v="214621"/>
    <n v="8154240"/>
    <n v="12045310"/>
    <n v="38187.4"/>
    <n v="35743.599999999999"/>
    <n v="0.89977654521291095"/>
    <n v="147.71836492426027"/>
    <n v="8.5051168211565151E-2"/>
    <n v="2.1917186641550897E-2"/>
  </r>
  <r>
    <s v="GT2021010"/>
    <x v="1"/>
    <x v="1"/>
    <n v="158872"/>
    <n v="29216"/>
    <n v="129656"/>
    <n v="242726"/>
    <n v="94767"/>
    <n v="147959"/>
    <n v="142469"/>
    <n v="10205597"/>
    <n v="8284958"/>
    <n v="31774.400000000001"/>
    <n v="25931.200000000001"/>
    <n v="0.5869540139910846"/>
    <n v="81.180532603825142"/>
    <n v="0.39042788988406679"/>
    <n v="1.2704401320177547E-2"/>
  </r>
  <r>
    <s v="GT2021011"/>
    <x v="1"/>
    <x v="1"/>
    <n v="156288"/>
    <n v="22219"/>
    <n v="134069"/>
    <n v="154304"/>
    <n v="57929"/>
    <n v="96375"/>
    <n v="92467"/>
    <n v="6712503"/>
    <n v="14374026"/>
    <n v="31257.599999999999"/>
    <n v="26813.8"/>
    <n v="0.59925212567399422"/>
    <n v="214.13809423995787"/>
    <n v="0.37542124637080049"/>
    <n v="1.9973026455258194E-2"/>
  </r>
  <r>
    <s v="GT2021012"/>
    <x v="1"/>
    <x v="1"/>
    <n v="134555"/>
    <n v="15415"/>
    <n v="119140"/>
    <n v="175299"/>
    <n v="58925"/>
    <n v="116374"/>
    <n v="108423"/>
    <n v="6135964"/>
    <n v="12872232"/>
    <n v="26911"/>
    <n v="23828"/>
    <n v="0.61850324303047932"/>
    <n v="209.78336900281684"/>
    <n v="0.33613996657140088"/>
    <n v="1.9416671936145651E-2"/>
  </r>
  <r>
    <s v="GT2021013"/>
    <x v="1"/>
    <x v="1"/>
    <n v="108596"/>
    <n v="40523"/>
    <n v="68073"/>
    <n v="176934"/>
    <n v="30524"/>
    <n v="146410"/>
    <n v="144333"/>
    <n v="11941245"/>
    <n v="12451244"/>
    <n v="21719.200000000001"/>
    <n v="13614.6"/>
    <n v="0.81574485401336094"/>
    <n v="104.27090307585181"/>
    <n v="0.17251630551505082"/>
    <n v="5.7006618656597367E-3"/>
  </r>
  <r>
    <s v="GT2021014"/>
    <x v="1"/>
    <x v="1"/>
    <n v="93303"/>
    <n v="69207"/>
    <n v="24096"/>
    <n v="119142"/>
    <n v="44287"/>
    <n v="74855"/>
    <n v="65912"/>
    <n v="12483058"/>
    <n v="5562469"/>
    <n v="18660.599999999999"/>
    <n v="4819.2"/>
    <n v="0.55322220543553069"/>
    <n v="44.560147040893341"/>
    <n v="0.37171610347316647"/>
    <n v="1.9302962463204128E-3"/>
  </r>
  <r>
    <s v="GT2021015"/>
    <x v="1"/>
    <x v="1"/>
    <n v="152974"/>
    <n v="28574"/>
    <n v="124400"/>
    <n v="153584"/>
    <n v="34096"/>
    <n v="119488"/>
    <n v="115296"/>
    <n v="9883680"/>
    <n v="6681262"/>
    <n v="30594.799999999999"/>
    <n v="24880"/>
    <n v="0.75070319824981768"/>
    <n v="67.598930762630928"/>
    <n v="0.22200229190540682"/>
    <n v="1.258640506370097E-2"/>
  </r>
  <r>
    <s v="GT2021016"/>
    <x v="1"/>
    <x v="1"/>
    <n v="199453"/>
    <n v="46455"/>
    <n v="152998"/>
    <n v="265261"/>
    <n v="19018"/>
    <n v="246243"/>
    <n v="232941"/>
    <n v="12905477"/>
    <n v="13016389"/>
    <n v="39890.6"/>
    <n v="30599.599999999999"/>
    <n v="0.87815773898160676"/>
    <n v="100.85941805947971"/>
    <n v="7.1695424506429517E-2"/>
    <n v="1.1855276639522894E-2"/>
  </r>
  <r>
    <s v="GT2021017"/>
    <x v="1"/>
    <x v="1"/>
    <n v="146646"/>
    <n v="34519"/>
    <n v="112127"/>
    <n v="228936"/>
    <n v="71819"/>
    <n v="157117"/>
    <n v="139743"/>
    <n v="17392092"/>
    <n v="12496563"/>
    <n v="29329.200000000001"/>
    <n v="22425.4"/>
    <n v="0.61040203375615898"/>
    <n v="71.851983073686583"/>
    <n v="0.31370776112101201"/>
    <n v="6.4470105148937808E-3"/>
  </r>
  <r>
    <s v="GT2021018"/>
    <x v="1"/>
    <x v="1"/>
    <n v="75053"/>
    <n v="19446"/>
    <n v="55607"/>
    <n v="76529"/>
    <n v="66356"/>
    <n v="10173"/>
    <n v="-2616"/>
    <n v="15321336"/>
    <n v="13288100"/>
    <n v="15010.6"/>
    <n v="11121.4"/>
    <n v="-3.4183120124397288E-2"/>
    <n v="86.729381824143786"/>
    <n v="0.86706999960799169"/>
    <n v="3.6293832339425228E-3"/>
  </r>
  <r>
    <s v="GT2021019"/>
    <x v="1"/>
    <x v="1"/>
    <n v="82154"/>
    <n v="12336"/>
    <n v="69818"/>
    <n v="157597"/>
    <n v="34029"/>
    <n v="123568"/>
    <n v="116956"/>
    <n v="12583354"/>
    <n v="6131209"/>
    <n v="16430.8"/>
    <n v="13963.6"/>
    <n v="0.74212072564833087"/>
    <n v="48.724759710328428"/>
    <n v="0.21592416099291231"/>
    <n v="5.5484412184541579E-3"/>
  </r>
  <r>
    <s v="GT2021020"/>
    <x v="1"/>
    <x v="1"/>
    <n v="96197"/>
    <n v="65180"/>
    <n v="31017"/>
    <n v="74727"/>
    <n v="44486"/>
    <n v="30241"/>
    <n v="21870"/>
    <n v="15688727"/>
    <n v="13288051"/>
    <n v="19239.400000000001"/>
    <n v="6203.4"/>
    <n v="0.29266530169818139"/>
    <n v="84.698082897356812"/>
    <n v="0.5953136082005166"/>
    <n v="1.9770246496098758E-3"/>
  </r>
  <r>
    <s v="GT2022001"/>
    <x v="1"/>
    <x v="2"/>
    <n v="90631"/>
    <n v="30103"/>
    <n v="60528"/>
    <n v="145300"/>
    <n v="29382"/>
    <n v="115918"/>
    <n v="111027"/>
    <n v="15096300"/>
    <n v="8525633"/>
    <n v="18126.2"/>
    <n v="12105.6"/>
    <n v="0.7641225051617343"/>
    <n v="56.474983936461257"/>
    <n v="0.20221610461114933"/>
    <n v="4.0094592714771168E-3"/>
  </r>
  <r>
    <s v="GT2022002"/>
    <x v="1"/>
    <x v="2"/>
    <n v="197550"/>
    <n v="49666"/>
    <n v="147884"/>
    <n v="243567"/>
    <n v="86315"/>
    <n v="157252"/>
    <n v="142954"/>
    <n v="13776957"/>
    <n v="12451337"/>
    <n v="39510"/>
    <n v="29576.799999999999"/>
    <n v="0.58691858913563821"/>
    <n v="90.377991308240269"/>
    <n v="0.3543788772699093"/>
    <n v="1.0734155590381824E-2"/>
  </r>
  <r>
    <s v="GT2022003"/>
    <x v="1"/>
    <x v="2"/>
    <n v="126325"/>
    <n v="22999"/>
    <n v="103326"/>
    <n v="178644"/>
    <n v="15814"/>
    <n v="162830"/>
    <n v="144101"/>
    <n v="13464685"/>
    <n v="10168362"/>
    <n v="25265"/>
    <n v="20665.2"/>
    <n v="0.80663778240523054"/>
    <n v="75.518751459837347"/>
    <n v="8.8522424486688608E-2"/>
    <n v="7.6738520061924954E-3"/>
  </r>
  <r>
    <s v="GT2022004"/>
    <x v="1"/>
    <x v="2"/>
    <n v="183515"/>
    <n v="27368"/>
    <n v="156147"/>
    <n v="191475"/>
    <n v="71942"/>
    <n v="119533"/>
    <n v="116706"/>
    <n v="18396650"/>
    <n v="13440139"/>
    <n v="36703"/>
    <n v="31229.4"/>
    <n v="0.60951037994516255"/>
    <n v="73.057534931631579"/>
    <n v="0.37572529050789921"/>
    <n v="8.4877953323023482E-3"/>
  </r>
  <r>
    <s v="GT2022005"/>
    <x v="1"/>
    <x v="2"/>
    <n v="87219"/>
    <n v="74644"/>
    <n v="12575"/>
    <n v="92854"/>
    <n v="68028"/>
    <n v="24826"/>
    <n v="16867"/>
    <n v="17583038"/>
    <n v="3838761"/>
    <n v="17443.8"/>
    <n v="2515"/>
    <n v="0.18165076356430526"/>
    <n v="21.832182811639264"/>
    <n v="0.73263402761324226"/>
    <n v="7.1517788905421241E-4"/>
  </r>
  <r>
    <s v="GT2022006"/>
    <x v="1"/>
    <x v="2"/>
    <n v="77632"/>
    <n v="75310"/>
    <n v="2322"/>
    <n v="77498"/>
    <n v="59327"/>
    <n v="18171"/>
    <n v="12803"/>
    <n v="7276106"/>
    <n v="9960534"/>
    <n v="15526.4"/>
    <n v="464.4"/>
    <n v="0.16520426333582802"/>
    <n v="136.89374508837557"/>
    <n v="0.76552943301762622"/>
    <n v="3.1912674169397754E-4"/>
  </r>
  <r>
    <s v="GT2022007"/>
    <x v="1"/>
    <x v="2"/>
    <n v="84560"/>
    <n v="32116"/>
    <n v="52444"/>
    <n v="108688"/>
    <n v="16645"/>
    <n v="92043"/>
    <n v="75288"/>
    <n v="11671318"/>
    <n v="3494592"/>
    <n v="16912"/>
    <n v="10488.8"/>
    <n v="0.69269836596496392"/>
    <n v="29.941708382892145"/>
    <n v="0.15314478139261004"/>
    <n v="4.4934085422057733E-3"/>
  </r>
  <r>
    <s v="GT2022008"/>
    <x v="1"/>
    <x v="2"/>
    <n v="150158"/>
    <n v="63173"/>
    <n v="86985"/>
    <n v="144415"/>
    <n v="54282"/>
    <n v="90133"/>
    <n v="85425"/>
    <n v="6715630"/>
    <n v="3318408"/>
    <n v="30031.599999999999"/>
    <n v="17397"/>
    <n v="0.59152442613301948"/>
    <n v="49.413204717949021"/>
    <n v="0.37587508222830041"/>
    <n v="1.2952619486183724E-2"/>
  </r>
  <r>
    <s v="GT2022009"/>
    <x v="1"/>
    <x v="2"/>
    <n v="107545"/>
    <n v="49224"/>
    <n v="58321"/>
    <n v="176266"/>
    <n v="28224"/>
    <n v="148042"/>
    <n v="138072"/>
    <n v="6898739"/>
    <n v="12617944"/>
    <n v="21509"/>
    <n v="11664.2"/>
    <n v="0.78331612449366295"/>
    <n v="182.90217965921019"/>
    <n v="0.16012163434808754"/>
    <n v="8.4538638148218097E-3"/>
  </r>
  <r>
    <s v="GT2022010"/>
    <x v="1"/>
    <x v="2"/>
    <n v="189649"/>
    <n v="18070"/>
    <n v="171579"/>
    <n v="200245"/>
    <n v="72761"/>
    <n v="127484"/>
    <n v="121884"/>
    <n v="9856447"/>
    <n v="11369066"/>
    <n v="37929.800000000003"/>
    <n v="34315.800000000003"/>
    <n v="0.60867437389198231"/>
    <n v="115.34649351840476"/>
    <n v="0.36335988414192616"/>
    <n v="1.7407794106740492E-2"/>
  </r>
  <r>
    <s v="GT2022011"/>
    <x v="1"/>
    <x v="2"/>
    <n v="91914"/>
    <n v="77526"/>
    <n v="14388"/>
    <n v="105223"/>
    <n v="60765"/>
    <n v="44458"/>
    <n v="28986"/>
    <n v="17966064"/>
    <n v="13580030"/>
    <n v="18382.8"/>
    <n v="2877.6"/>
    <n v="0.27547209260332817"/>
    <n v="75.587118024292906"/>
    <n v="0.57748781160012541"/>
    <n v="8.0084318969363578E-4"/>
  </r>
  <r>
    <s v="GT2022012"/>
    <x v="1"/>
    <x v="2"/>
    <n v="54757"/>
    <n v="29097"/>
    <n v="25660"/>
    <n v="56055"/>
    <n v="31241"/>
    <n v="24814"/>
    <n v="17226"/>
    <n v="19838832"/>
    <n v="12683910"/>
    <n v="10951.4"/>
    <n v="5132"/>
    <n v="0.30730532512710729"/>
    <n v="63.934761885175497"/>
    <n v="0.55732762465435737"/>
    <n v="1.2934229192525044E-3"/>
  </r>
  <r>
    <s v="GT2022013"/>
    <x v="1"/>
    <x v="2"/>
    <n v="120480"/>
    <n v="56163"/>
    <n v="64317"/>
    <n v="104133"/>
    <n v="64840"/>
    <n v="39293"/>
    <n v="33050"/>
    <n v="7412149"/>
    <n v="8398869"/>
    <n v="24096"/>
    <n v="12863.4"/>
    <n v="0.31738257804922548"/>
    <n v="113.3121986619535"/>
    <n v="0.6226652454073156"/>
    <n v="8.677240568153716E-3"/>
  </r>
  <r>
    <s v="GT2022014"/>
    <x v="1"/>
    <x v="2"/>
    <n v="146731"/>
    <n v="31566"/>
    <n v="115165"/>
    <n v="210617"/>
    <n v="77823"/>
    <n v="132794"/>
    <n v="120810"/>
    <n v="10768927"/>
    <n v="5878604"/>
    <n v="29346.2"/>
    <n v="23033"/>
    <n v="0.57360042161838787"/>
    <n v="54.588576930644997"/>
    <n v="0.36950008783716415"/>
    <n v="1.0694194509815137E-2"/>
  </r>
  <r>
    <s v="GT2022015"/>
    <x v="1"/>
    <x v="2"/>
    <n v="142374"/>
    <n v="12482"/>
    <n v="129892"/>
    <n v="174334"/>
    <n v="48719"/>
    <n v="125615"/>
    <n v="121536"/>
    <n v="19551709"/>
    <n v="8984684"/>
    <n v="28474.799999999999"/>
    <n v="25978.400000000001"/>
    <n v="0.69714456158867466"/>
    <n v="45.953445808752576"/>
    <n v="0.27945782234102357"/>
    <n v="6.6435113165810725E-3"/>
  </r>
  <r>
    <s v="GT2022016"/>
    <x v="1"/>
    <x v="2"/>
    <n v="140397"/>
    <n v="28449"/>
    <n v="111948"/>
    <n v="165484"/>
    <n v="79077"/>
    <n v="86407"/>
    <n v="78917"/>
    <n v="5703662"/>
    <n v="4305585"/>
    <n v="28079.4"/>
    <n v="22389.599999999999"/>
    <n v="0.47688598293490608"/>
    <n v="75.488081166099946"/>
    <n v="0.47785284377945902"/>
    <n v="1.9627390262606726E-2"/>
  </r>
  <r>
    <s v="GT2022017"/>
    <x v="1"/>
    <x v="2"/>
    <n v="187717"/>
    <n v="48000"/>
    <n v="139717"/>
    <n v="186454"/>
    <n v="26485"/>
    <n v="159969"/>
    <n v="152172"/>
    <n v="17440382"/>
    <n v="9094467"/>
    <n v="37543.4"/>
    <n v="27943.4"/>
    <n v="0.81613695603205083"/>
    <n v="52.146030975697663"/>
    <n v="0.14204575927574631"/>
    <n v="8.0111203986242968E-3"/>
  </r>
  <r>
    <s v="GT2022018"/>
    <x v="1"/>
    <x v="2"/>
    <n v="102487"/>
    <n v="22342"/>
    <n v="80145"/>
    <n v="140951"/>
    <n v="63770"/>
    <n v="77181"/>
    <n v="62094"/>
    <n v="16899657"/>
    <n v="8211593"/>
    <n v="20497.400000000001"/>
    <n v="16029"/>
    <n v="0.44053607281963236"/>
    <n v="48.590293874011763"/>
    <n v="0.45242672985647492"/>
    <n v="4.7424039434646511E-3"/>
  </r>
  <r>
    <s v="GT2022019"/>
    <x v="1"/>
    <x v="2"/>
    <n v="181026"/>
    <n v="62603"/>
    <n v="118423"/>
    <n v="220397"/>
    <n v="41399"/>
    <n v="178998"/>
    <n v="161290"/>
    <n v="12449607"/>
    <n v="7043064"/>
    <n v="36205.199999999997"/>
    <n v="23684.6"/>
    <n v="0.73181576881717991"/>
    <n v="56.572580965808804"/>
    <n v="0.18783830995884698"/>
    <n v="9.5121878144426575E-3"/>
  </r>
  <r>
    <s v="GT2022020"/>
    <x v="1"/>
    <x v="2"/>
    <n v="80678"/>
    <n v="73230"/>
    <n v="7448"/>
    <n v="101503"/>
    <n v="71373"/>
    <n v="30130"/>
    <n v="24830"/>
    <n v="16868738"/>
    <n v="6185714"/>
    <n v="16135.6"/>
    <n v="1489.6"/>
    <n v="0.24462331162625736"/>
    <n v="36.669690406004293"/>
    <n v="0.70316148291183511"/>
    <n v="4.4152680538401867E-4"/>
  </r>
  <r>
    <s v="GT2023001"/>
    <x v="1"/>
    <x v="3"/>
    <n v="135595"/>
    <n v="74929"/>
    <n v="60666"/>
    <n v="154172"/>
    <n v="49911"/>
    <n v="104261"/>
    <n v="92758"/>
    <n v="5978039"/>
    <n v="12288493"/>
    <n v="27119"/>
    <n v="12133.2"/>
    <n v="0.60165269958228473"/>
    <n v="205.56060273276904"/>
    <n v="0.32373582751731833"/>
    <n v="1.0148143898024084E-2"/>
  </r>
  <r>
    <s v="GT2023002"/>
    <x v="1"/>
    <x v="3"/>
    <n v="134458"/>
    <n v="22175"/>
    <n v="112283"/>
    <n v="187054"/>
    <n v="81358"/>
    <n v="105696"/>
    <n v="86369"/>
    <n v="9241361"/>
    <n v="8511174"/>
    <n v="26891.599999999999"/>
    <n v="22456.6"/>
    <n v="0.46173297550439979"/>
    <n v="92.098707106020427"/>
    <n v="0.43494391993755815"/>
    <n v="1.2150050192823329E-2"/>
  </r>
  <r>
    <s v="GT2023003"/>
    <x v="1"/>
    <x v="3"/>
    <n v="54425"/>
    <n v="26032"/>
    <n v="28393"/>
    <n v="50591"/>
    <n v="75500"/>
    <n v="-24909"/>
    <n v="-30361"/>
    <n v="11202258"/>
    <n v="7339235"/>
    <n v="10885"/>
    <n v="5678.6"/>
    <n v="-0.6001265047142772"/>
    <n v="65.515675500421438"/>
    <n v="1.4923603012393509"/>
    <n v="2.5345782966255553E-3"/>
  </r>
  <r>
    <s v="GT2023004"/>
    <x v="1"/>
    <x v="3"/>
    <n v="168865"/>
    <n v="18705"/>
    <n v="150160"/>
    <n v="213040"/>
    <n v="38236"/>
    <n v="174804"/>
    <n v="167963"/>
    <n v="8816446"/>
    <n v="6376513"/>
    <n v="33773"/>
    <n v="30032"/>
    <n v="0.78841062711227938"/>
    <n v="72.325209046820007"/>
    <n v="0.17947803229440482"/>
    <n v="1.703180624029229E-2"/>
  </r>
  <r>
    <s v="GT2023005"/>
    <x v="1"/>
    <x v="3"/>
    <n v="144914"/>
    <n v="24596"/>
    <n v="120318"/>
    <n v="173890"/>
    <n v="93757"/>
    <n v="80133"/>
    <n v="76854"/>
    <n v="10437149"/>
    <n v="13878177"/>
    <n v="28982.799999999999"/>
    <n v="24063.599999999999"/>
    <n v="0.44196906090056931"/>
    <n v="132.96904164154407"/>
    <n v="0.53917419058025184"/>
    <n v="1.1527860721352163E-2"/>
  </r>
  <r>
    <s v="GT2023006"/>
    <x v="1"/>
    <x v="3"/>
    <n v="188155"/>
    <n v="27771"/>
    <n v="160384"/>
    <n v="210359"/>
    <n v="60648"/>
    <n v="149711"/>
    <n v="132194"/>
    <n v="18126263"/>
    <n v="7261946"/>
    <n v="37631"/>
    <n v="32076.799999999999"/>
    <n v="0.62842093754010997"/>
    <n v="40.06311725698783"/>
    <n v="0.28830713209323111"/>
    <n v="8.848155849884777E-3"/>
  </r>
  <r>
    <s v="GT2023007"/>
    <x v="1"/>
    <x v="3"/>
    <n v="140093"/>
    <n v="47599"/>
    <n v="92494"/>
    <n v="164414"/>
    <n v="43529"/>
    <n v="120885"/>
    <n v="115699"/>
    <n v="8173584"/>
    <n v="14045415"/>
    <n v="28018.6"/>
    <n v="18498.8"/>
    <n v="0.70370528057221404"/>
    <n v="171.83912222594154"/>
    <n v="0.26475239334849832"/>
    <n v="1.1316210856828534E-2"/>
  </r>
  <r>
    <s v="GT2023008"/>
    <x v="1"/>
    <x v="3"/>
    <n v="149608"/>
    <n v="70774"/>
    <n v="78834"/>
    <n v="122586"/>
    <n v="70029"/>
    <n v="52557"/>
    <n v="32872"/>
    <n v="17451050"/>
    <n v="3116739"/>
    <n v="29921.599999999999"/>
    <n v="15766.8"/>
    <n v="0.26815460166740085"/>
    <n v="17.85989381727747"/>
    <n v="0.57126425529832114"/>
    <n v="4.5174359135983222E-3"/>
  </r>
  <r>
    <s v="GT2023009"/>
    <x v="1"/>
    <x v="3"/>
    <n v="105961"/>
    <n v="66133"/>
    <n v="39828"/>
    <n v="157253"/>
    <n v="76268"/>
    <n v="80985"/>
    <n v="73510"/>
    <n v="13577064"/>
    <n v="5653093"/>
    <n v="21192.2"/>
    <n v="7965.6"/>
    <n v="0.46746325984241954"/>
    <n v="41.637080004925956"/>
    <n v="0.48500187595785138"/>
    <n v="2.9334766338289337E-3"/>
  </r>
  <r>
    <s v="GT2023010"/>
    <x v="1"/>
    <x v="3"/>
    <n v="171829"/>
    <n v="11622"/>
    <n v="160207"/>
    <n v="228963"/>
    <n v="55809"/>
    <n v="173154"/>
    <n v="154429"/>
    <n v="5716756"/>
    <n v="11439834"/>
    <n v="34365.800000000003"/>
    <n v="32041.4"/>
    <n v="0.67447142114664815"/>
    <n v="200.11058719315642"/>
    <n v="0.24374680625253861"/>
    <n v="2.8024110177170408E-2"/>
  </r>
  <r>
    <s v="GT2023011"/>
    <x v="1"/>
    <x v="3"/>
    <n v="131182"/>
    <n v="39402"/>
    <n v="91780"/>
    <n v="116043"/>
    <n v="61828"/>
    <n v="54215"/>
    <n v="37059"/>
    <n v="17807049"/>
    <n v="4500844"/>
    <n v="26236.400000000001"/>
    <n v="18356"/>
    <n v="0.31935575605594479"/>
    <n v="25.275631015560187"/>
    <n v="0.53280249562662119"/>
    <n v="5.1541386784525614E-3"/>
  </r>
  <r>
    <s v="GT2023012"/>
    <x v="1"/>
    <x v="3"/>
    <n v="192736"/>
    <n v="45737"/>
    <n v="146999"/>
    <n v="256562"/>
    <n v="44373"/>
    <n v="212189"/>
    <n v="206560"/>
    <n v="5390719"/>
    <n v="12916545"/>
    <n v="38547.199999999997"/>
    <n v="29399.8"/>
    <n v="0.80510753735939067"/>
    <n v="239.6070913731545"/>
    <n v="0.17295234680116306"/>
    <n v="2.7268904203687858E-2"/>
  </r>
  <r>
    <s v="GT2023013"/>
    <x v="1"/>
    <x v="3"/>
    <n v="151371"/>
    <n v="48709"/>
    <n v="102662"/>
    <n v="183782"/>
    <n v="34250"/>
    <n v="149532"/>
    <n v="135977"/>
    <n v="11247794"/>
    <n v="10917596"/>
    <n v="30274.2"/>
    <n v="20532.400000000001"/>
    <n v="0.73988203414915499"/>
    <n v="97.064331014597172"/>
    <n v="0.1863621029262931"/>
    <n v="9.12730087339793E-3"/>
  </r>
  <r>
    <s v="GT2023014"/>
    <x v="1"/>
    <x v="3"/>
    <n v="107492"/>
    <n v="63002"/>
    <n v="44490"/>
    <n v="154089"/>
    <n v="87355"/>
    <n v="66734"/>
    <n v="53688"/>
    <n v="9422375"/>
    <n v="3378165"/>
    <n v="21498.400000000001"/>
    <n v="8898"/>
    <n v="0.34842201584798393"/>
    <n v="35.852584937449421"/>
    <n v="0.56691262841604528"/>
    <n v="4.721739476512026E-3"/>
  </r>
  <r>
    <s v="GT2023015"/>
    <x v="1"/>
    <x v="3"/>
    <n v="54853"/>
    <n v="31792"/>
    <n v="23061"/>
    <n v="102190"/>
    <n v="89478"/>
    <n v="12712"/>
    <n v="-4795"/>
    <n v="12978450"/>
    <n v="8703394"/>
    <n v="10970.6"/>
    <n v="4612.2"/>
    <n v="-4.6922399452001176E-2"/>
    <n v="67.060350041800064"/>
    <n v="0.87560426656228596"/>
    <n v="1.7768685782971001E-3"/>
  </r>
  <r>
    <s v="GT2023016"/>
    <x v="1"/>
    <x v="3"/>
    <n v="196922"/>
    <n v="22112"/>
    <n v="174810"/>
    <n v="218868"/>
    <n v="60420"/>
    <n v="158448"/>
    <n v="150326"/>
    <n v="14503201"/>
    <n v="12615560"/>
    <n v="39384.400000000001"/>
    <n v="34962"/>
    <n v="0.68683407350549186"/>
    <n v="86.984659455522959"/>
    <n v="0.27605680135972366"/>
    <n v="1.2053201220889098E-2"/>
  </r>
  <r>
    <s v="GT2023017"/>
    <x v="1"/>
    <x v="3"/>
    <n v="182596"/>
    <n v="25048"/>
    <n v="157548"/>
    <n v="212659"/>
    <n v="52904"/>
    <n v="159755"/>
    <n v="156515"/>
    <n v="12733308"/>
    <n v="6875754"/>
    <n v="36519.199999999997"/>
    <n v="31509.599999999999"/>
    <n v="0.73599048241551024"/>
    <n v="53.998175493752285"/>
    <n v="0.24877385861872764"/>
    <n v="1.2372904197401021E-2"/>
  </r>
  <r>
    <s v="GT2023018"/>
    <x v="1"/>
    <x v="3"/>
    <n v="133559"/>
    <n v="65337"/>
    <n v="68222"/>
    <n v="101572"/>
    <n v="39354"/>
    <n v="62218"/>
    <n v="47800"/>
    <n v="15912996"/>
    <n v="13047595"/>
    <n v="26711.8"/>
    <n v="13644.4"/>
    <n v="0.47060213444650101"/>
    <n v="81.993327969164326"/>
    <n v="0.38744929705036824"/>
    <n v="4.287187654669177E-3"/>
  </r>
  <r>
    <s v="GT2023019"/>
    <x v="1"/>
    <x v="3"/>
    <n v="70581"/>
    <n v="33051"/>
    <n v="37530"/>
    <n v="109004"/>
    <n v="84626"/>
    <n v="24378"/>
    <n v="15418"/>
    <n v="5428988"/>
    <n v="7084752"/>
    <n v="14116.2"/>
    <n v="7506"/>
    <n v="0.14144435066603062"/>
    <n v="130.49857542510685"/>
    <n v="0.77635683094198382"/>
    <n v="6.9128905792387087E-3"/>
  </r>
  <r>
    <s v="GT2023020"/>
    <x v="1"/>
    <x v="3"/>
    <n v="86408"/>
    <n v="67134"/>
    <n v="19274"/>
    <n v="59765"/>
    <n v="16341"/>
    <n v="43424"/>
    <n v="29569"/>
    <n v="12954647"/>
    <n v="5490706"/>
    <n v="17281.599999999999"/>
    <n v="3854.8"/>
    <n v="0.49475445494854847"/>
    <n v="42.384064961399567"/>
    <n v="0.27342089851920021"/>
    <n v="1.4878058815496864E-3"/>
  </r>
  <r>
    <s v="GT2024001"/>
    <x v="1"/>
    <x v="4"/>
    <n v="193326"/>
    <n v="61860"/>
    <n v="131466"/>
    <n v="162810"/>
    <n v="16750"/>
    <n v="146060"/>
    <n v="141639"/>
    <n v="7202575"/>
    <n v="9611653"/>
    <n v="38665.199999999997"/>
    <n v="26293.200000000001"/>
    <n v="0.86996498986548743"/>
    <n v="133.44745455618303"/>
    <n v="0.102880658436214"/>
    <n v="1.8252638813202222E-2"/>
  </r>
  <r>
    <s v="GT2024002"/>
    <x v="1"/>
    <x v="4"/>
    <n v="196968"/>
    <n v="65761"/>
    <n v="131207"/>
    <n v="213759"/>
    <n v="92454"/>
    <n v="121305"/>
    <n v="105456"/>
    <n v="6564718"/>
    <n v="8139743"/>
    <n v="39393.599999999999"/>
    <n v="26241.4"/>
    <n v="0.49334063127166577"/>
    <n v="123.99227202143337"/>
    <n v="0.43251512217029459"/>
    <n v="1.9986692497682305E-2"/>
  </r>
  <r>
    <s v="GT2024003"/>
    <x v="1"/>
    <x v="4"/>
    <n v="87641"/>
    <n v="39711"/>
    <n v="47930"/>
    <n v="138272"/>
    <n v="27182"/>
    <n v="111090"/>
    <n v="92316"/>
    <n v="16579149"/>
    <n v="12052788"/>
    <n v="17528.2"/>
    <n v="9586"/>
    <n v="0.66764059245545015"/>
    <n v="72.698472038582921"/>
    <n v="0.19658354547558435"/>
    <n v="2.8909807131837707E-3"/>
  </r>
  <r>
    <s v="GT2024004"/>
    <x v="1"/>
    <x v="4"/>
    <n v="74070"/>
    <n v="79768"/>
    <n v="-5698"/>
    <n v="25424"/>
    <n v="95559"/>
    <n v="-70135"/>
    <n v="-80142"/>
    <n v="14913841"/>
    <n v="13192348"/>
    <n v="14814"/>
    <n v="-1139.5999999999999"/>
    <n v="-3.1522183763373191"/>
    <n v="88.457078226863217"/>
    <n v="3.7586139081183134"/>
    <n v="-3.820612007329299E-4"/>
  </r>
  <r>
    <s v="GT2024005"/>
    <x v="1"/>
    <x v="4"/>
    <n v="187809"/>
    <n v="46062"/>
    <n v="141747"/>
    <n v="215984"/>
    <n v="66571"/>
    <n v="149413"/>
    <n v="142916"/>
    <n v="17469690"/>
    <n v="6395049"/>
    <n v="37561.800000000003"/>
    <n v="28349.4"/>
    <n v="0.66169716275279655"/>
    <n v="36.606539669564832"/>
    <n v="0.30822190532632049"/>
    <n v="8.1138818147316865E-3"/>
  </r>
  <r>
    <s v="GT2024006"/>
    <x v="1"/>
    <x v="4"/>
    <n v="116150"/>
    <n v="62375"/>
    <n v="53775"/>
    <n v="109210"/>
    <n v="72132"/>
    <n v="37078"/>
    <n v="21669"/>
    <n v="14388162"/>
    <n v="7193060"/>
    <n v="23230"/>
    <n v="10755"/>
    <n v="0.19841589598022158"/>
    <n v="49.992903888627332"/>
    <n v="0.66048896621188535"/>
    <n v="3.7374474932934448E-3"/>
  </r>
  <r>
    <s v="GT2024007"/>
    <x v="1"/>
    <x v="4"/>
    <n v="184055"/>
    <n v="30662"/>
    <n v="153393"/>
    <n v="196903"/>
    <n v="93187"/>
    <n v="103716"/>
    <n v="93486"/>
    <n v="16984398"/>
    <n v="4841648"/>
    <n v="36811"/>
    <n v="30678.6"/>
    <n v="0.47478199925851816"/>
    <n v="28.506444561650053"/>
    <n v="0.47326348506625088"/>
    <n v="9.0314063530541385E-3"/>
  </r>
  <r>
    <s v="GT2024008"/>
    <x v="1"/>
    <x v="4"/>
    <n v="94547"/>
    <n v="64620"/>
    <n v="29927"/>
    <n v="65244"/>
    <n v="22564"/>
    <n v="42680"/>
    <n v="25160"/>
    <n v="18594639"/>
    <n v="7448748"/>
    <n v="18909.400000000001"/>
    <n v="5985.4"/>
    <n v="0.38562932990006743"/>
    <n v="40.058578174064039"/>
    <n v="0.34584023051928148"/>
    <n v="1.609442377450834E-3"/>
  </r>
  <r>
    <s v="GT2024009"/>
    <x v="1"/>
    <x v="4"/>
    <n v="129273"/>
    <n v="62393"/>
    <n v="66880"/>
    <n v="152961"/>
    <n v="44430"/>
    <n v="108531"/>
    <n v="96535"/>
    <n v="11843532"/>
    <n v="7945169"/>
    <n v="25854.6"/>
    <n v="13376"/>
    <n v="0.63110858323363472"/>
    <n v="67.084455886976954"/>
    <n v="0.29046619726596978"/>
    <n v="5.6469640982098925E-3"/>
  </r>
  <r>
    <s v="GT2024010"/>
    <x v="1"/>
    <x v="4"/>
    <n v="194991"/>
    <n v="79346"/>
    <n v="115645"/>
    <n v="231767"/>
    <n v="54974"/>
    <n v="176793"/>
    <n v="165788"/>
    <n v="18123571"/>
    <n v="11171548"/>
    <n v="38998.199999999997"/>
    <n v="23129"/>
    <n v="0.71532185341312615"/>
    <n v="61.640986756969696"/>
    <n v="0.23719511405851568"/>
    <n v="6.3809168733910109E-3"/>
  </r>
  <r>
    <s v="GT2024011"/>
    <x v="1"/>
    <x v="4"/>
    <n v="111916"/>
    <n v="72187"/>
    <n v="39729"/>
    <n v="72713"/>
    <n v="48039"/>
    <n v="24674"/>
    <n v="12058"/>
    <n v="16374857"/>
    <n v="10969693"/>
    <n v="22383.200000000001"/>
    <n v="7945.8"/>
    <n v="0.16583004414616367"/>
    <n v="66.991076624363799"/>
    <n v="0.66066590568399053"/>
    <n v="2.4262196610327648E-3"/>
  </r>
  <r>
    <s v="GT2024012"/>
    <x v="1"/>
    <x v="4"/>
    <n v="74574"/>
    <n v="13430"/>
    <n v="61144"/>
    <n v="93820"/>
    <n v="25816"/>
    <n v="68004"/>
    <n v="63954"/>
    <n v="15595756"/>
    <n v="3549239"/>
    <n v="14914.8"/>
    <n v="12228.8"/>
    <n v="0.68166702195693885"/>
    <n v="22.757723319087578"/>
    <n v="0.27516520997655086"/>
    <n v="3.9205537711669769E-3"/>
  </r>
  <r>
    <s v="GT2024013"/>
    <x v="1"/>
    <x v="4"/>
    <n v="82413"/>
    <n v="44801"/>
    <n v="37612"/>
    <n v="113231"/>
    <n v="47913"/>
    <n v="65318"/>
    <n v="49049"/>
    <n v="18619492"/>
    <n v="12659072"/>
    <n v="16482.599999999999"/>
    <n v="7522.4"/>
    <n v="0.4331764269502168"/>
    <n v="67.988278090508587"/>
    <n v="0.4231438387014157"/>
    <n v="2.020033629274096E-3"/>
  </r>
  <r>
    <s v="GT2024014"/>
    <x v="1"/>
    <x v="4"/>
    <n v="185566"/>
    <n v="53001"/>
    <n v="132565"/>
    <n v="219929"/>
    <n v="60028"/>
    <n v="159901"/>
    <n v="148771"/>
    <n v="16238779"/>
    <n v="10996198"/>
    <n v="37113.199999999997"/>
    <n v="26513"/>
    <n v="0.67645012708646879"/>
    <n v="67.715670002036489"/>
    <n v="0.27294263148561582"/>
    <n v="8.1634832274027503E-3"/>
  </r>
  <r>
    <s v="GT2024015"/>
    <x v="1"/>
    <x v="4"/>
    <n v="174343"/>
    <n v="66638"/>
    <n v="107705"/>
    <n v="157462"/>
    <n v="49636"/>
    <n v="107826"/>
    <n v="91265"/>
    <n v="17762264"/>
    <n v="8004998"/>
    <n v="34868.6"/>
    <n v="21541"/>
    <n v="0.57960015749831706"/>
    <n v="45.06744185313314"/>
    <n v="0.31522526069781914"/>
    <n v="6.0636977358291717E-3"/>
  </r>
  <r>
    <s v="GT2024016"/>
    <x v="1"/>
    <x v="4"/>
    <n v="130435"/>
    <n v="72211"/>
    <n v="58224"/>
    <n v="133066"/>
    <n v="71979"/>
    <n v="61087"/>
    <n v="42867"/>
    <n v="10193278"/>
    <n v="3431413"/>
    <n v="26087"/>
    <n v="11644.8"/>
    <n v="0.32214840755715207"/>
    <n v="33.663488820769921"/>
    <n v="0.54092705875279934"/>
    <n v="5.7119996138631753E-3"/>
  </r>
  <r>
    <s v="GT2024017"/>
    <x v="1"/>
    <x v="4"/>
    <n v="91844"/>
    <n v="74754"/>
    <n v="17090"/>
    <n v="71247"/>
    <n v="92129"/>
    <n v="-20882"/>
    <n v="-30156"/>
    <n v="8207393"/>
    <n v="8489464"/>
    <n v="18368.8"/>
    <n v="3418"/>
    <n v="-0.42325992673375723"/>
    <n v="103.43679168281572"/>
    <n v="1.2930930425140708"/>
    <n v="2.0822689982068605E-3"/>
  </r>
  <r>
    <s v="GT2024018"/>
    <x v="1"/>
    <x v="4"/>
    <n v="166953"/>
    <n v="37376"/>
    <n v="129577"/>
    <n v="205131"/>
    <n v="29199"/>
    <n v="175932"/>
    <n v="158056"/>
    <n v="18551364"/>
    <n v="6743797"/>
    <n v="33390.6"/>
    <n v="25915.4"/>
    <n v="0.77051250176716346"/>
    <n v="36.352027807766589"/>
    <n v="0.14234318557409656"/>
    <n v="6.9847694218063963E-3"/>
  </r>
  <r>
    <s v="GT2024019"/>
    <x v="1"/>
    <x v="4"/>
    <n v="116262"/>
    <n v="56600"/>
    <n v="59662"/>
    <n v="156560"/>
    <n v="77483"/>
    <n v="79077"/>
    <n v="66971"/>
    <n v="12347689"/>
    <n v="4829553"/>
    <n v="23252.400000000001"/>
    <n v="11932.4"/>
    <n v="0.42776571282575371"/>
    <n v="39.11301134973516"/>
    <n v="0.49490929994890137"/>
    <n v="4.8318353337211519E-3"/>
  </r>
  <r>
    <s v="GT2024020"/>
    <x v="1"/>
    <x v="4"/>
    <n v="162855"/>
    <n v="34578"/>
    <n v="128277"/>
    <n v="177108"/>
    <n v="22906"/>
    <n v="154202"/>
    <n v="144915"/>
    <n v="12635836"/>
    <n v="10809006"/>
    <n v="32571"/>
    <n v="25655.4"/>
    <n v="0.8182295548478894"/>
    <n v="85.542468262487731"/>
    <n v="0.12933351401404791"/>
    <n v="1.0151841160331616E-2"/>
  </r>
  <r>
    <s v="ZE2020001"/>
    <x v="2"/>
    <x v="0"/>
    <n v="110504"/>
    <n v="69720"/>
    <n v="40784"/>
    <n v="95485"/>
    <n v="98300"/>
    <n v="-2815"/>
    <n v="-16688"/>
    <n v="6721610"/>
    <n v="13569320"/>
    <n v="22100.799999999999"/>
    <n v="8156.8"/>
    <n v="-0.17477090642509294"/>
    <n v="201.87603862765022"/>
    <n v="1.029481070325182"/>
    <n v="6.0675939246698334E-3"/>
  </r>
  <r>
    <s v="ZE2020002"/>
    <x v="2"/>
    <x v="0"/>
    <n v="93642"/>
    <n v="75160"/>
    <n v="18482"/>
    <n v="56084"/>
    <n v="40931"/>
    <n v="15153"/>
    <n v="-621"/>
    <n v="17447783"/>
    <n v="11168984"/>
    <n v="18728.400000000001"/>
    <n v="3696.4"/>
    <n v="-1.1072676699236859E-2"/>
    <n v="64.013771835653841"/>
    <n v="0.72981599030026389"/>
    <n v="1.0592749806665981E-3"/>
  </r>
  <r>
    <s v="ZE2020003"/>
    <x v="2"/>
    <x v="0"/>
    <n v="114772"/>
    <n v="68762"/>
    <n v="46010"/>
    <n v="116116"/>
    <n v="96121"/>
    <n v="19995"/>
    <n v="10704"/>
    <n v="11849486"/>
    <n v="8050405"/>
    <n v="22954.400000000001"/>
    <n v="9202"/>
    <n v="9.2183678390574939E-2"/>
    <n v="67.938854056623214"/>
    <n v="0.82780150883599157"/>
    <n v="3.8828688434249382E-3"/>
  </r>
  <r>
    <s v="ZE2020004"/>
    <x v="2"/>
    <x v="0"/>
    <n v="185044"/>
    <n v="51873"/>
    <n v="133171"/>
    <n v="247832"/>
    <n v="24903"/>
    <n v="222929"/>
    <n v="217909"/>
    <n v="13212420"/>
    <n v="3402732"/>
    <n v="37008.800000000003"/>
    <n v="26634.2"/>
    <n v="0.87926095096678392"/>
    <n v="25.754040516423181"/>
    <n v="0.10048339197520902"/>
    <n v="1.0079228483502643E-2"/>
  </r>
  <r>
    <s v="ZE2020005"/>
    <x v="2"/>
    <x v="0"/>
    <n v="165005"/>
    <n v="12396"/>
    <n v="152609"/>
    <n v="256691"/>
    <n v="34129"/>
    <n v="222562"/>
    <n v="218971"/>
    <n v="13399911"/>
    <n v="12598817"/>
    <n v="33001"/>
    <n v="30521.8"/>
    <n v="0.85305289238812421"/>
    <n v="94.021646860191836"/>
    <n v="0.1329575248060898"/>
    <n v="1.1388806985359828E-2"/>
  </r>
  <r>
    <s v="ZE2020006"/>
    <x v="2"/>
    <x v="0"/>
    <n v="121719"/>
    <n v="17314"/>
    <n v="104405"/>
    <n v="144028"/>
    <n v="82675"/>
    <n v="61353"/>
    <n v="44665"/>
    <n v="9684346"/>
    <n v="3458298"/>
    <n v="24343.8"/>
    <n v="20881"/>
    <n v="0.31011331130058045"/>
    <n v="35.710186315111002"/>
    <n v="0.57402032938039826"/>
    <n v="1.0780800272935312E-2"/>
  </r>
  <r>
    <s v="ZE2020007"/>
    <x v="2"/>
    <x v="0"/>
    <n v="155228"/>
    <n v="43130"/>
    <n v="112098"/>
    <n v="183854"/>
    <n v="41292"/>
    <n v="142562"/>
    <n v="127081"/>
    <n v="6569123"/>
    <n v="9115518"/>
    <n v="31045.599999999999"/>
    <n v="22419.599999999999"/>
    <n v="0.6912060656825525"/>
    <n v="138.7630890759695"/>
    <n v="0.22459125175410924"/>
    <n v="1.7064378304379443E-2"/>
  </r>
  <r>
    <s v="ZE2020008"/>
    <x v="2"/>
    <x v="0"/>
    <n v="119274"/>
    <n v="12469"/>
    <n v="106805"/>
    <n v="180752"/>
    <n v="37534"/>
    <n v="143218"/>
    <n v="125112"/>
    <n v="6622572"/>
    <n v="6220281"/>
    <n v="23854.799999999999"/>
    <n v="21361"/>
    <n v="0.69217491369390105"/>
    <n v="93.925456756076045"/>
    <n v="0.20765468708506682"/>
    <n v="1.6127419981239916E-2"/>
  </r>
  <r>
    <s v="ZE2020009"/>
    <x v="2"/>
    <x v="0"/>
    <n v="118344"/>
    <n v="59138"/>
    <n v="59206"/>
    <n v="133508"/>
    <n v="62638"/>
    <n v="70870"/>
    <n v="56157"/>
    <n v="18261162"/>
    <n v="11859060"/>
    <n v="23668.799999999999"/>
    <n v="11841.2"/>
    <n v="0.42062647931210112"/>
    <n v="64.941431437933687"/>
    <n v="0.46917038679330075"/>
    <n v="3.2421814121138624E-3"/>
  </r>
  <r>
    <s v="ZE2020010"/>
    <x v="2"/>
    <x v="0"/>
    <n v="92534"/>
    <n v="28787"/>
    <n v="63747"/>
    <n v="132592"/>
    <n v="72932"/>
    <n v="59660"/>
    <n v="57366"/>
    <n v="12415745"/>
    <n v="11082655"/>
    <n v="18506.8"/>
    <n v="12749.4"/>
    <n v="0.43265053698564016"/>
    <n v="89.262907703081851"/>
    <n v="0.55004826837214915"/>
    <n v="5.1343676919910972E-3"/>
  </r>
  <r>
    <s v="ZE2020011"/>
    <x v="2"/>
    <x v="0"/>
    <n v="125418"/>
    <n v="76672"/>
    <n v="48746"/>
    <n v="103578"/>
    <n v="46966"/>
    <n v="56612"/>
    <n v="47603"/>
    <n v="10124795"/>
    <n v="8411263"/>
    <n v="25083.599999999999"/>
    <n v="9749.2000000000007"/>
    <n v="0.45958601247369135"/>
    <n v="83.075884499389858"/>
    <n v="0.45343605785012259"/>
    <n v="4.8145172322007507E-3"/>
  </r>
  <r>
    <s v="ZE2020012"/>
    <x v="2"/>
    <x v="0"/>
    <n v="81575"/>
    <n v="73852"/>
    <n v="7723"/>
    <n v="28730"/>
    <n v="85981"/>
    <n v="-57251"/>
    <n v="-69957"/>
    <n v="18810077"/>
    <n v="12466441"/>
    <n v="16315"/>
    <n v="1544.6"/>
    <n v="-2.4349808562478246"/>
    <n v="66.27533209991644"/>
    <n v="2.9927253741733382"/>
    <n v="4.1057779827270247E-4"/>
  </r>
  <r>
    <s v="ZE2020013"/>
    <x v="2"/>
    <x v="0"/>
    <n v="194353"/>
    <n v="71246"/>
    <n v="123107"/>
    <n v="144542"/>
    <n v="41660"/>
    <n v="102882"/>
    <n v="95798"/>
    <n v="13067987"/>
    <n v="4656671"/>
    <n v="38870.6"/>
    <n v="24621.4"/>
    <n v="0.66276929888890423"/>
    <n v="35.634187576097219"/>
    <n v="0.28822072477203858"/>
    <n v="9.4205021783385617E-3"/>
  </r>
  <r>
    <s v="ZE2020014"/>
    <x v="2"/>
    <x v="0"/>
    <n v="165953"/>
    <n v="17491"/>
    <n v="148462"/>
    <n v="218654"/>
    <n v="95395"/>
    <n v="123259"/>
    <n v="113186"/>
    <n v="8941237"/>
    <n v="12161408"/>
    <n v="33190.6"/>
    <n v="29692.400000000001"/>
    <n v="0.51764888819779198"/>
    <n v="136.01482658383844"/>
    <n v="0.43628289443595819"/>
    <n v="1.6604190225580642E-2"/>
  </r>
  <r>
    <s v="ZE2020015"/>
    <x v="2"/>
    <x v="0"/>
    <n v="70953"/>
    <n v="77889"/>
    <n v="-6936"/>
    <n v="36885"/>
    <n v="52567"/>
    <n v="-15682"/>
    <n v="-34752"/>
    <n v="5549148"/>
    <n v="5773707"/>
    <n v="14190.6"/>
    <n v="-1387.2"/>
    <n v="-0.94217161447742981"/>
    <n v="104.04672933574668"/>
    <n v="1.4251592788396368"/>
    <n v="-1.249921609587634E-3"/>
  </r>
  <r>
    <s v="ZE2020016"/>
    <x v="2"/>
    <x v="0"/>
    <n v="127475"/>
    <n v="31427"/>
    <n v="96048"/>
    <n v="143131"/>
    <n v="72372"/>
    <n v="70759"/>
    <n v="57463"/>
    <n v="19163589"/>
    <n v="6177326"/>
    <n v="25495"/>
    <n v="19209.599999999999"/>
    <n v="0.40147137936575583"/>
    <n v="32.234703008919674"/>
    <n v="0.50563469828339069"/>
    <n v="5.0120047972224829E-3"/>
  </r>
  <r>
    <s v="ZE2020017"/>
    <x v="2"/>
    <x v="0"/>
    <n v="143106"/>
    <n v="37082"/>
    <n v="106024"/>
    <n v="155265"/>
    <n v="59569"/>
    <n v="95696"/>
    <n v="81951"/>
    <n v="5812461"/>
    <n v="7427036"/>
    <n v="28621.200000000001"/>
    <n v="21204.799999999999"/>
    <n v="0.52781373780311081"/>
    <n v="127.77782078881906"/>
    <n v="0.3836601938621067"/>
    <n v="1.824081056199775E-2"/>
  </r>
  <r>
    <s v="ZE2020018"/>
    <x v="2"/>
    <x v="0"/>
    <n v="173395"/>
    <n v="24288"/>
    <n v="149107"/>
    <n v="258293"/>
    <n v="21540"/>
    <n v="236753"/>
    <n v="218331"/>
    <n v="12906166"/>
    <n v="10310108"/>
    <n v="34679"/>
    <n v="29821.4"/>
    <n v="0.84528423147355913"/>
    <n v="79.885133973947035"/>
    <n v="8.33936653335553E-2"/>
    <n v="1.1553159939210451E-2"/>
  </r>
  <r>
    <s v="ZE2020019"/>
    <x v="2"/>
    <x v="0"/>
    <n v="125932"/>
    <n v="27482"/>
    <n v="98450"/>
    <n v="141861"/>
    <n v="65975"/>
    <n v="75886"/>
    <n v="59888"/>
    <n v="8486669"/>
    <n v="12309205"/>
    <n v="25186.400000000001"/>
    <n v="19690"/>
    <n v="0.42215971972564692"/>
    <n v="145.04165297362249"/>
    <n v="0.46506791859637253"/>
    <n v="1.1600546692701224E-2"/>
  </r>
  <r>
    <s v="ZE2020020"/>
    <x v="2"/>
    <x v="0"/>
    <n v="72042"/>
    <n v="62930"/>
    <n v="9112"/>
    <n v="73525"/>
    <n v="48756"/>
    <n v="24769"/>
    <n v="16323"/>
    <n v="12552975"/>
    <n v="11123236"/>
    <n v="14408.4"/>
    <n v="1822.4"/>
    <n v="0.22200612036722203"/>
    <n v="88.61035730573829"/>
    <n v="0.663121387283237"/>
    <n v="7.2588370485880834E-4"/>
  </r>
  <r>
    <s v="ZE2021001"/>
    <x v="2"/>
    <x v="1"/>
    <n v="98901"/>
    <n v="73416"/>
    <n v="25485"/>
    <n v="77681"/>
    <n v="20626"/>
    <n v="57055"/>
    <n v="47631"/>
    <n v="6847865"/>
    <n v="10586725"/>
    <n v="19780.2"/>
    <n v="5097"/>
    <n v="0.61316151954789455"/>
    <n v="154.59891513632351"/>
    <n v="0.26552181357088606"/>
    <n v="3.7215978994913014E-3"/>
  </r>
  <r>
    <s v="ZE2021002"/>
    <x v="2"/>
    <x v="1"/>
    <n v="183052"/>
    <n v="58290"/>
    <n v="124762"/>
    <n v="171193"/>
    <n v="99976"/>
    <n v="71217"/>
    <n v="60233"/>
    <n v="5344855"/>
    <n v="8750283"/>
    <n v="36610.400000000001"/>
    <n v="24952.400000000001"/>
    <n v="0.35184265711798962"/>
    <n v="163.71413256299749"/>
    <n v="0.58399584095144075"/>
    <n v="2.334244801776662E-2"/>
  </r>
  <r>
    <s v="ZE2021003"/>
    <x v="2"/>
    <x v="1"/>
    <n v="76385"/>
    <n v="48158"/>
    <n v="28227"/>
    <n v="71246"/>
    <n v="33639"/>
    <n v="37607"/>
    <n v="34000"/>
    <n v="17866619"/>
    <n v="11296877"/>
    <n v="15277"/>
    <n v="5645.4"/>
    <n v="0.47721977374168373"/>
    <n v="63.228957868301769"/>
    <n v="0.47215282261460295"/>
    <n v="1.5798736179464062E-3"/>
  </r>
  <r>
    <s v="ZE2021004"/>
    <x v="2"/>
    <x v="1"/>
    <n v="165672"/>
    <n v="15776"/>
    <n v="149896"/>
    <n v="206340"/>
    <n v="83916"/>
    <n v="122424"/>
    <n v="111713"/>
    <n v="10972558"/>
    <n v="5442266"/>
    <n v="33134.400000000001"/>
    <n v="29979.200000000001"/>
    <n v="0.54140253949791606"/>
    <n v="49.598881136012224"/>
    <n v="0.40668799069496947"/>
    <n v="1.3660989534072182E-2"/>
  </r>
  <r>
    <s v="ZE2021005"/>
    <x v="2"/>
    <x v="1"/>
    <n v="135553"/>
    <n v="40707"/>
    <n v="94846"/>
    <n v="153956"/>
    <n v="76788"/>
    <n v="77168"/>
    <n v="57825"/>
    <n v="10150635"/>
    <n v="8481140"/>
    <n v="27110.6"/>
    <n v="18969.2"/>
    <n v="0.37559432565148482"/>
    <n v="83.552802361625652"/>
    <n v="0.49876588116085113"/>
    <n v="9.3438489316185636E-3"/>
  </r>
  <r>
    <s v="ZE2021006"/>
    <x v="2"/>
    <x v="1"/>
    <n v="186727"/>
    <n v="54859"/>
    <n v="131868"/>
    <n v="205493"/>
    <n v="67098"/>
    <n v="138395"/>
    <n v="121144"/>
    <n v="9981262"/>
    <n v="7525208"/>
    <n v="37345.4"/>
    <n v="26373.599999999999"/>
    <n v="0.58952859708116578"/>
    <n v="75.393352063095833"/>
    <n v="0.32652207131143152"/>
    <n v="1.321155581328293E-2"/>
  </r>
  <r>
    <s v="ZE2021007"/>
    <x v="2"/>
    <x v="1"/>
    <n v="97837"/>
    <n v="21536"/>
    <n v="76301"/>
    <n v="124842"/>
    <n v="94083"/>
    <n v="30759"/>
    <n v="26996"/>
    <n v="10609125"/>
    <n v="5874299"/>
    <n v="19567.400000000001"/>
    <n v="15260.2"/>
    <n v="0.21624132903990645"/>
    <n v="55.370249667149743"/>
    <n v="0.75361657134618154"/>
    <n v="7.1920163067170952E-3"/>
  </r>
  <r>
    <s v="ZE2021008"/>
    <x v="2"/>
    <x v="1"/>
    <n v="179749"/>
    <n v="15109"/>
    <n v="164640"/>
    <n v="233908"/>
    <n v="69615"/>
    <n v="164293"/>
    <n v="145326"/>
    <n v="12594378"/>
    <n v="11998604"/>
    <n v="35949.800000000003"/>
    <n v="32928"/>
    <n v="0.62129555209740583"/>
    <n v="95.269524227397341"/>
    <n v="0.29761701181661165"/>
    <n v="1.3072499491439751E-2"/>
  </r>
  <r>
    <s v="ZE2021009"/>
    <x v="2"/>
    <x v="1"/>
    <n v="152471"/>
    <n v="36589"/>
    <n v="115882"/>
    <n v="165897"/>
    <n v="44009"/>
    <n v="121888"/>
    <n v="102115"/>
    <n v="13777198"/>
    <n v="13154590"/>
    <n v="30494.2"/>
    <n v="23176.400000000001"/>
    <n v="0.61553252921993762"/>
    <n v="95.48088080029045"/>
    <n v="0.26527905869304447"/>
    <n v="8.4111442689580283E-3"/>
  </r>
  <r>
    <s v="ZE2021010"/>
    <x v="2"/>
    <x v="1"/>
    <n v="156661"/>
    <n v="36143"/>
    <n v="120518"/>
    <n v="146672"/>
    <n v="36804"/>
    <n v="109868"/>
    <n v="98948"/>
    <n v="8210016"/>
    <n v="13768485"/>
    <n v="31332.2"/>
    <n v="24103.599999999999"/>
    <n v="0.67462092287553177"/>
    <n v="167.70350995661886"/>
    <n v="0.25092723900949054"/>
    <n v="1.4679386739319388E-2"/>
  </r>
  <r>
    <s v="ZE2021011"/>
    <x v="2"/>
    <x v="1"/>
    <n v="80087"/>
    <n v="59930"/>
    <n v="20157"/>
    <n v="73138"/>
    <n v="84298"/>
    <n v="-11160"/>
    <n v="-26559"/>
    <n v="10973544"/>
    <n v="8282379"/>
    <n v="16017.4"/>
    <n v="4031.4"/>
    <n v="-0.36313544258798436"/>
    <n v="75.475880900463878"/>
    <n v="1.1525882578139954"/>
    <n v="1.8368723905421987E-3"/>
  </r>
  <r>
    <s v="ZE2021012"/>
    <x v="2"/>
    <x v="1"/>
    <n v="175816"/>
    <n v="62269"/>
    <n v="113547"/>
    <n v="172106"/>
    <n v="89319"/>
    <n v="82787"/>
    <n v="67166"/>
    <n v="9158549"/>
    <n v="12734816"/>
    <n v="35163.199999999997"/>
    <n v="22709.4"/>
    <n v="0.39025949124376835"/>
    <n v="139.04840166275247"/>
    <n v="0.51897667716407325"/>
    <n v="1.2397924605742678E-2"/>
  </r>
  <r>
    <s v="ZE2021013"/>
    <x v="2"/>
    <x v="1"/>
    <n v="124441"/>
    <n v="32431"/>
    <n v="92010"/>
    <n v="173691"/>
    <n v="78483"/>
    <n v="95208"/>
    <n v="76823"/>
    <n v="17851424"/>
    <n v="11284960"/>
    <n v="24888.2"/>
    <n v="18402"/>
    <n v="0.44229695263427582"/>
    <n v="63.216021310120695"/>
    <n v="0.45185415479213087"/>
    <n v="5.1542106668913358E-3"/>
  </r>
  <r>
    <s v="ZE2021014"/>
    <x v="2"/>
    <x v="1"/>
    <n v="162360"/>
    <n v="55004"/>
    <n v="107356"/>
    <n v="211225"/>
    <n v="71985"/>
    <n v="139240"/>
    <n v="119939"/>
    <n v="12654502"/>
    <n v="6882149"/>
    <n v="32472"/>
    <n v="21471.200000000001"/>
    <n v="0.56782577819860336"/>
    <n v="54.384984885221087"/>
    <n v="0.34079772754172094"/>
    <n v="8.4836210859976953E-3"/>
  </r>
  <r>
    <s v="ZE2021015"/>
    <x v="2"/>
    <x v="1"/>
    <n v="100861"/>
    <n v="78577"/>
    <n v="22284"/>
    <n v="107925"/>
    <n v="24078"/>
    <n v="83847"/>
    <n v="75757"/>
    <n v="18427004"/>
    <n v="10258746"/>
    <n v="20172.2"/>
    <n v="4456.8"/>
    <n v="0.70194116284456798"/>
    <n v="55.672349124144105"/>
    <n v="0.22309937456567061"/>
    <n v="1.2093121594807274E-3"/>
  </r>
  <r>
    <s v="ZE2021016"/>
    <x v="2"/>
    <x v="1"/>
    <n v="182997"/>
    <n v="36015"/>
    <n v="146982"/>
    <n v="200302"/>
    <n v="79881"/>
    <n v="120421"/>
    <n v="114510"/>
    <n v="18526705"/>
    <n v="4308507"/>
    <n v="36599.4"/>
    <n v="29396.400000000001"/>
    <n v="0.57168675300296556"/>
    <n v="23.255657171634137"/>
    <n v="0.39880280776028199"/>
    <n v="7.9335208284473675E-3"/>
  </r>
  <r>
    <s v="ZE2021017"/>
    <x v="2"/>
    <x v="1"/>
    <n v="184461"/>
    <n v="35683"/>
    <n v="148778"/>
    <n v="182407"/>
    <n v="76550"/>
    <n v="105857"/>
    <n v="101427"/>
    <n v="13546310"/>
    <n v="5851274"/>
    <n v="36892.199999999997"/>
    <n v="29755.599999999999"/>
    <n v="0.55604773939596619"/>
    <n v="43.194596904987407"/>
    <n v="0.4196659119441688"/>
    <n v="1.0982917119126906E-2"/>
  </r>
  <r>
    <s v="ZE2021018"/>
    <x v="2"/>
    <x v="1"/>
    <n v="148511"/>
    <n v="76435"/>
    <n v="72076"/>
    <n v="103729"/>
    <n v="42961"/>
    <n v="60768"/>
    <n v="42363"/>
    <n v="18312409"/>
    <n v="4868670"/>
    <n v="29702.2"/>
    <n v="14415.2"/>
    <n v="0.40840073653462389"/>
    <n v="26.586725973628045"/>
    <n v="0.41416575885239421"/>
    <n v="3.9359103436363832E-3"/>
  </r>
  <r>
    <s v="ZE2021019"/>
    <x v="2"/>
    <x v="1"/>
    <n v="148818"/>
    <n v="66446"/>
    <n v="82372"/>
    <n v="123660"/>
    <n v="51877"/>
    <n v="71783"/>
    <n v="56525"/>
    <n v="14321425"/>
    <n v="10551989"/>
    <n v="29763.599999999999"/>
    <n v="16474.400000000001"/>
    <n v="0.45710011321365035"/>
    <n v="73.679742064773578"/>
    <n v="0.41951318130357429"/>
    <n v="5.7516622822100455E-3"/>
  </r>
  <r>
    <s v="ZE2021020"/>
    <x v="2"/>
    <x v="1"/>
    <n v="122715"/>
    <n v="20326"/>
    <n v="102389"/>
    <n v="123949"/>
    <n v="94148"/>
    <n v="29801"/>
    <n v="10151"/>
    <n v="6992825"/>
    <n v="6832978"/>
    <n v="24543"/>
    <n v="20477.8"/>
    <n v="8.1896586499285995E-2"/>
    <n v="97.714128410191876"/>
    <n v="0.75957046849914078"/>
    <n v="1.4642008058259716E-2"/>
  </r>
  <r>
    <s v="ZE2022001"/>
    <x v="2"/>
    <x v="2"/>
    <n v="173629"/>
    <n v="62579"/>
    <n v="111050"/>
    <n v="201366"/>
    <n v="98847"/>
    <n v="102519"/>
    <n v="88625"/>
    <n v="5264500"/>
    <n v="13556086"/>
    <n v="34725.800000000003"/>
    <n v="22210"/>
    <n v="0.44011898731662741"/>
    <n v="257.49997150726568"/>
    <n v="0.4908822740681148"/>
    <n v="2.1094120999145219E-2"/>
  </r>
  <r>
    <s v="ZE2022002"/>
    <x v="2"/>
    <x v="2"/>
    <n v="142447"/>
    <n v="30049"/>
    <n v="112398"/>
    <n v="208115"/>
    <n v="31082"/>
    <n v="177033"/>
    <n v="174372"/>
    <n v="6217060"/>
    <n v="4031519"/>
    <n v="28489.4"/>
    <n v="22479.599999999999"/>
    <n v="0.83786368113783249"/>
    <n v="64.846068720584967"/>
    <n v="0.14935011892463301"/>
    <n v="1.8078963368537541E-2"/>
  </r>
  <r>
    <s v="ZE2022003"/>
    <x v="2"/>
    <x v="2"/>
    <n v="52920"/>
    <n v="70315"/>
    <n v="-17395"/>
    <n v="82166"/>
    <n v="23946"/>
    <n v="58220"/>
    <n v="43488"/>
    <n v="13099932"/>
    <n v="4851317"/>
    <n v="10584"/>
    <n v="-3479"/>
    <n v="0.52927001436117127"/>
    <n v="37.033146431599796"/>
    <n v="0.29143441326095954"/>
    <n v="-1.3278694881774958E-3"/>
  </r>
  <r>
    <s v="ZE2022004"/>
    <x v="2"/>
    <x v="2"/>
    <n v="105230"/>
    <n v="40027"/>
    <n v="65203"/>
    <n v="157744"/>
    <n v="74321"/>
    <n v="83423"/>
    <n v="80467"/>
    <n v="15717207"/>
    <n v="12384451"/>
    <n v="21046"/>
    <n v="13040.6"/>
    <n v="0.51011131960645095"/>
    <n v="78.795494644818248"/>
    <n v="0.47114945734861546"/>
    <n v="4.1485106100594077E-3"/>
  </r>
  <r>
    <s v="ZE2022005"/>
    <x v="2"/>
    <x v="2"/>
    <n v="75963"/>
    <n v="49443"/>
    <n v="26520"/>
    <n v="145779"/>
    <n v="54063"/>
    <n v="91716"/>
    <n v="73795"/>
    <n v="14780146"/>
    <n v="5363999"/>
    <n v="15192.6"/>
    <n v="5304"/>
    <n v="0.5062114570685764"/>
    <n v="36.291921608893446"/>
    <n v="0.37085588459243102"/>
    <n v="1.7942989196453134E-3"/>
  </r>
  <r>
    <s v="ZE2022006"/>
    <x v="2"/>
    <x v="2"/>
    <n v="122099"/>
    <n v="35849"/>
    <n v="86250"/>
    <n v="138110"/>
    <n v="46585"/>
    <n v="91525"/>
    <n v="77522"/>
    <n v="15005057"/>
    <n v="3289102"/>
    <n v="24419.8"/>
    <n v="17250"/>
    <n v="0.56130620519875463"/>
    <n v="21.919956718591603"/>
    <n v="0.33730359858084136"/>
    <n v="5.7480621366516639E-3"/>
  </r>
  <r>
    <s v="ZE2022007"/>
    <x v="2"/>
    <x v="2"/>
    <n v="76017"/>
    <n v="55350"/>
    <n v="20667"/>
    <n v="52868"/>
    <n v="44426"/>
    <n v="8442"/>
    <n v="-11336"/>
    <n v="16186361"/>
    <n v="12479413"/>
    <n v="15203.4"/>
    <n v="4133.3999999999996"/>
    <n v="-0.21442082166906257"/>
    <n v="77.098323705989259"/>
    <n v="0.84031928576832871"/>
    <n v="1.2768157092258106E-3"/>
  </r>
  <r>
    <s v="ZE2022008"/>
    <x v="2"/>
    <x v="2"/>
    <n v="136652"/>
    <n v="58364"/>
    <n v="78288"/>
    <n v="197121"/>
    <n v="99878"/>
    <n v="97243"/>
    <n v="82478"/>
    <n v="18607851"/>
    <n v="10537165"/>
    <n v="27330.400000000001"/>
    <n v="15657.6"/>
    <n v="0.41841305594026007"/>
    <n v="56.627522436631715"/>
    <n v="0.50668371203474005"/>
    <n v="4.2072563887146346E-3"/>
  </r>
  <r>
    <s v="ZE2022009"/>
    <x v="2"/>
    <x v="2"/>
    <n v="138397"/>
    <n v="59153"/>
    <n v="79244"/>
    <n v="132386"/>
    <n v="41916"/>
    <n v="90470"/>
    <n v="76273"/>
    <n v="5388076"/>
    <n v="7884797"/>
    <n v="27679.4"/>
    <n v="15848.8"/>
    <n v="0.57614098167479944"/>
    <n v="146.33789501113199"/>
    <n v="0.31661958213104102"/>
    <n v="1.470729069151957E-2"/>
  </r>
  <r>
    <s v="ZE2022010"/>
    <x v="2"/>
    <x v="2"/>
    <n v="146059"/>
    <n v="45046"/>
    <n v="101013"/>
    <n v="168077"/>
    <n v="84350"/>
    <n v="83727"/>
    <n v="68602"/>
    <n v="6960826"/>
    <n v="5844664"/>
    <n v="29211.8"/>
    <n v="20202.599999999999"/>
    <n v="0.40815816560267021"/>
    <n v="83.965092648487399"/>
    <n v="0.50185331722960314"/>
    <n v="1.4511639854235691E-2"/>
  </r>
  <r>
    <s v="ZE2022011"/>
    <x v="2"/>
    <x v="2"/>
    <n v="117649"/>
    <n v="74674"/>
    <n v="42975"/>
    <n v="76735"/>
    <n v="36927"/>
    <n v="39808"/>
    <n v="25220"/>
    <n v="16393942"/>
    <n v="5854190"/>
    <n v="23529.8"/>
    <n v="8595"/>
    <n v="0.32866358245911254"/>
    <n v="35.709471218087756"/>
    <n v="0.48122760148563237"/>
    <n v="2.6213951470610303E-3"/>
  </r>
  <r>
    <s v="ZE2022012"/>
    <x v="2"/>
    <x v="2"/>
    <n v="168154"/>
    <n v="62233"/>
    <n v="105921"/>
    <n v="170659"/>
    <n v="48397"/>
    <n v="122262"/>
    <n v="103609"/>
    <n v="16872847"/>
    <n v="4042377"/>
    <n v="33630.800000000003"/>
    <n v="21184.2"/>
    <n v="0.60711125695099588"/>
    <n v="23.957883337648948"/>
    <n v="0.28358891122062124"/>
    <n v="6.2776009288770295E-3"/>
  </r>
  <r>
    <s v="ZE2022013"/>
    <x v="2"/>
    <x v="2"/>
    <n v="170585"/>
    <n v="29816"/>
    <n v="140769"/>
    <n v="203009"/>
    <n v="21276"/>
    <n v="181733"/>
    <n v="164098"/>
    <n v="13361735"/>
    <n v="13856760"/>
    <n v="34117"/>
    <n v="28153.8"/>
    <n v="0.80832869478693059"/>
    <n v="103.70479582180008"/>
    <n v="0.10480323532454226"/>
    <n v="1.0535233635452283E-2"/>
  </r>
  <r>
    <s v="ZE2022014"/>
    <x v="2"/>
    <x v="2"/>
    <n v="121635"/>
    <n v="45946"/>
    <n v="75689"/>
    <n v="150893"/>
    <n v="66886"/>
    <n v="84007"/>
    <n v="75891"/>
    <n v="14714891"/>
    <n v="11480932"/>
    <n v="24327"/>
    <n v="15137.8"/>
    <n v="0.50294579602764877"/>
    <n v="78.022541927085982"/>
    <n v="0.443267746018702"/>
    <n v="5.1437010304731445E-3"/>
  </r>
  <r>
    <s v="ZE2022015"/>
    <x v="2"/>
    <x v="2"/>
    <n v="59847"/>
    <n v="36155"/>
    <n v="23692"/>
    <n v="123363"/>
    <n v="98310"/>
    <n v="25053"/>
    <n v="21311"/>
    <n v="19829445"/>
    <n v="14666027"/>
    <n v="11969.4"/>
    <n v="4738.3999999999996"/>
    <n v="0.17275033843210688"/>
    <n v="73.960854678484438"/>
    <n v="0.79691641740230057"/>
    <n v="1.1947888607068931E-3"/>
  </r>
  <r>
    <s v="ZE2022016"/>
    <x v="2"/>
    <x v="2"/>
    <n v="84707"/>
    <n v="30337"/>
    <n v="54370"/>
    <n v="155907"/>
    <n v="81504"/>
    <n v="74403"/>
    <n v="57557"/>
    <n v="7843940"/>
    <n v="6932441"/>
    <n v="16941.400000000001"/>
    <n v="10874"/>
    <n v="0.36917521342851828"/>
    <n v="88.379577100283797"/>
    <n v="0.52277319171044279"/>
    <n v="6.9314655644994736E-3"/>
  </r>
  <r>
    <s v="ZE2022017"/>
    <x v="2"/>
    <x v="2"/>
    <n v="182130"/>
    <n v="38404"/>
    <n v="143726"/>
    <n v="193582"/>
    <n v="24200"/>
    <n v="169382"/>
    <n v="166153"/>
    <n v="8040267"/>
    <n v="12685684"/>
    <n v="36426"/>
    <n v="28745.200000000001"/>
    <n v="0.85830810715872341"/>
    <n v="157.77689969748516"/>
    <n v="0.12501162298147556"/>
    <n v="1.7875774523408241E-2"/>
  </r>
  <r>
    <s v="ZE2022018"/>
    <x v="2"/>
    <x v="2"/>
    <n v="182311"/>
    <n v="75661"/>
    <n v="106650"/>
    <n v="171922"/>
    <n v="76212"/>
    <n v="95710"/>
    <n v="78312"/>
    <n v="11935774"/>
    <n v="4367223"/>
    <n v="36462.199999999997"/>
    <n v="21330"/>
    <n v="0.45550889356801338"/>
    <n v="36.58935733870296"/>
    <n v="0.44329405195379301"/>
    <n v="8.9353233397348169E-3"/>
  </r>
  <r>
    <s v="ZE2022019"/>
    <x v="2"/>
    <x v="2"/>
    <n v="187710"/>
    <n v="16570"/>
    <n v="171140"/>
    <n v="259925"/>
    <n v="24110"/>
    <n v="235815"/>
    <n v="226220"/>
    <n v="9273445"/>
    <n v="6184790"/>
    <n v="37542"/>
    <n v="34228"/>
    <n v="0.87032797922477634"/>
    <n v="66.693553474463911"/>
    <n v="9.2757526209483507E-2"/>
    <n v="1.8454846068532243E-2"/>
  </r>
  <r>
    <s v="ZE2022020"/>
    <x v="2"/>
    <x v="2"/>
    <n v="72911"/>
    <n v="42556"/>
    <n v="30355"/>
    <n v="128486"/>
    <n v="16969"/>
    <n v="111517"/>
    <n v="98532"/>
    <n v="15437499"/>
    <n v="9689142"/>
    <n v="14582.2"/>
    <n v="6071"/>
    <n v="0.76686954220693304"/>
    <n v="62.763676940157211"/>
    <n v="0.1320688635337702"/>
    <n v="1.966315916846375E-3"/>
  </r>
  <r>
    <s v="ZE2023001"/>
    <x v="2"/>
    <x v="3"/>
    <n v="171863"/>
    <n v="20225"/>
    <n v="151638"/>
    <n v="194834"/>
    <n v="28669"/>
    <n v="166165"/>
    <n v="159553"/>
    <n v="15348014"/>
    <n v="8877845"/>
    <n v="34372.6"/>
    <n v="30327.599999999999"/>
    <n v="0.81891764271123113"/>
    <n v="57.843607648520525"/>
    <n v="0.1471457753780141"/>
    <n v="9.8799753505567564E-3"/>
  </r>
  <r>
    <s v="ZE2023002"/>
    <x v="2"/>
    <x v="3"/>
    <n v="98320"/>
    <n v="57414"/>
    <n v="40906"/>
    <n v="76483"/>
    <n v="70409"/>
    <n v="6074"/>
    <n v="-11430"/>
    <n v="16820569"/>
    <n v="10376519"/>
    <n v="19664"/>
    <n v="8181.2"/>
    <n v="-0.14944497470026019"/>
    <n v="61.689464845095308"/>
    <n v="0.92058365911379003"/>
    <n v="2.4319034629565741E-3"/>
  </r>
  <r>
    <s v="ZE2023003"/>
    <x v="2"/>
    <x v="3"/>
    <n v="160448"/>
    <n v="60138"/>
    <n v="100310"/>
    <n v="163133"/>
    <n v="52208"/>
    <n v="110925"/>
    <n v="105853"/>
    <n v="8570834"/>
    <n v="14319247"/>
    <n v="32089.599999999999"/>
    <n v="20062"/>
    <n v="0.64887545744883013"/>
    <n v="167.0694707189522"/>
    <n v="0.32003334702359426"/>
    <n v="1.1703645176187055E-2"/>
  </r>
  <r>
    <s v="ZE2023004"/>
    <x v="2"/>
    <x v="3"/>
    <n v="69508"/>
    <n v="52287"/>
    <n v="17221"/>
    <n v="116137"/>
    <n v="41984"/>
    <n v="74153"/>
    <n v="60288"/>
    <n v="8940285"/>
    <n v="9851803"/>
    <n v="13901.6"/>
    <n v="3444.2"/>
    <n v="0.5191110498807443"/>
    <n v="110.19562575465996"/>
    <n v="0.36150408569189835"/>
    <n v="1.9262249469675743E-3"/>
  </r>
  <r>
    <s v="ZE2023005"/>
    <x v="2"/>
    <x v="3"/>
    <n v="153409"/>
    <n v="27087"/>
    <n v="126322"/>
    <n v="152026"/>
    <n v="75576"/>
    <n v="76450"/>
    <n v="66602"/>
    <n v="9936792"/>
    <n v="13427148"/>
    <n v="30681.8"/>
    <n v="25264.400000000001"/>
    <n v="0.43809611513820007"/>
    <n v="135.12558177729795"/>
    <n v="0.49712549169221054"/>
    <n v="1.2712553508214723E-2"/>
  </r>
  <r>
    <s v="ZE2023006"/>
    <x v="2"/>
    <x v="3"/>
    <n v="168516"/>
    <n v="76024"/>
    <n v="92492"/>
    <n v="152374"/>
    <n v="40923"/>
    <n v="111451"/>
    <n v="93711"/>
    <n v="19912613"/>
    <n v="5887698"/>
    <n v="33703.199999999997"/>
    <n v="18498.400000000001"/>
    <n v="0.61500649717143341"/>
    <n v="29.567681549377774"/>
    <n v="0.26856944098074476"/>
    <n v="4.6448951727229371E-3"/>
  </r>
  <r>
    <s v="ZE2023007"/>
    <x v="2"/>
    <x v="3"/>
    <n v="86321"/>
    <n v="35426"/>
    <n v="50895"/>
    <n v="88667"/>
    <n v="18712"/>
    <n v="69955"/>
    <n v="66588"/>
    <n v="11529845"/>
    <n v="5736582"/>
    <n v="17264.2"/>
    <n v="10179"/>
    <n v="0.75098965793361683"/>
    <n v="49.754198777173499"/>
    <n v="0.21103680061353153"/>
    <n v="4.4141963747127561E-3"/>
  </r>
  <r>
    <s v="ZE2023008"/>
    <x v="2"/>
    <x v="3"/>
    <n v="141736"/>
    <n v="61924"/>
    <n v="79812"/>
    <n v="103538"/>
    <n v="42723"/>
    <n v="60815"/>
    <n v="54009"/>
    <n v="9032654"/>
    <n v="3664468"/>
    <n v="28347.200000000001"/>
    <n v="15962.4"/>
    <n v="0.52163456895053029"/>
    <n v="40.56911733804926"/>
    <n v="0.41263111128281404"/>
    <n v="8.8359412416328578E-3"/>
  </r>
  <r>
    <s v="ZE2023009"/>
    <x v="2"/>
    <x v="3"/>
    <n v="85643"/>
    <n v="41324"/>
    <n v="44319"/>
    <n v="147679"/>
    <n v="23927"/>
    <n v="123752"/>
    <n v="107315"/>
    <n v="17384217"/>
    <n v="7828426"/>
    <n v="17128.599999999999"/>
    <n v="8863.7999999999993"/>
    <n v="0.72667745583325993"/>
    <n v="45.031800972111654"/>
    <n v="0.16202032787329276"/>
    <n v="2.5493814302939271E-3"/>
  </r>
  <r>
    <s v="ZE2023010"/>
    <x v="2"/>
    <x v="3"/>
    <n v="75537"/>
    <n v="32612"/>
    <n v="42925"/>
    <n v="156902"/>
    <n v="21471"/>
    <n v="135431"/>
    <n v="130568"/>
    <n v="19677441"/>
    <n v="14250117"/>
    <n v="15107.4"/>
    <n v="8585"/>
    <n v="0.83216275127149431"/>
    <n v="72.4185477166467"/>
    <n v="0.13684337994416898"/>
    <n v="2.1814320266542787E-3"/>
  </r>
  <r>
    <s v="ZE2023011"/>
    <x v="2"/>
    <x v="3"/>
    <n v="81348"/>
    <n v="74732"/>
    <n v="6616"/>
    <n v="27793"/>
    <n v="19760"/>
    <n v="8033"/>
    <n v="6022"/>
    <n v="7380932"/>
    <n v="4654753"/>
    <n v="16269.6"/>
    <n v="1323.2"/>
    <n v="0.21667326305184759"/>
    <n v="63.064569623456769"/>
    <n v="0.71097038822725145"/>
    <n v="8.9636376544317169E-4"/>
  </r>
  <r>
    <s v="ZE2023012"/>
    <x v="2"/>
    <x v="3"/>
    <n v="103551"/>
    <n v="21556"/>
    <n v="81995"/>
    <n v="129593"/>
    <n v="26563"/>
    <n v="103030"/>
    <n v="86979"/>
    <n v="15464014"/>
    <n v="13905942"/>
    <n v="20710.2"/>
    <n v="16399"/>
    <n v="0.67117051075289558"/>
    <n v="89.924530590828482"/>
    <n v="0.20497249079811408"/>
    <n v="5.3023102539870954E-3"/>
  </r>
  <r>
    <s v="ZE2023013"/>
    <x v="2"/>
    <x v="3"/>
    <n v="128714"/>
    <n v="68348"/>
    <n v="60366"/>
    <n v="104962"/>
    <n v="48174"/>
    <n v="56788"/>
    <n v="45582"/>
    <n v="14376079"/>
    <n v="7156532"/>
    <n v="25742.799999999999"/>
    <n v="12073.2"/>
    <n v="0.43427145062022449"/>
    <n v="49.780833842106738"/>
    <n v="0.45896610201787313"/>
    <n v="4.1990587280439961E-3"/>
  </r>
  <r>
    <s v="ZE2023014"/>
    <x v="2"/>
    <x v="3"/>
    <n v="137163"/>
    <n v="49310"/>
    <n v="87853"/>
    <n v="163941"/>
    <n v="23906"/>
    <n v="140035"/>
    <n v="133889"/>
    <n v="12188238"/>
    <n v="10909699"/>
    <n v="27432.6"/>
    <n v="17570.599999999999"/>
    <n v="0.81669015072495588"/>
    <n v="89.510058796029412"/>
    <n v="0.14582075258782123"/>
    <n v="7.2080148090314612E-3"/>
  </r>
  <r>
    <s v="ZE2023015"/>
    <x v="2"/>
    <x v="3"/>
    <n v="96413"/>
    <n v="16012"/>
    <n v="80401"/>
    <n v="150516"/>
    <n v="22151"/>
    <n v="128365"/>
    <n v="122755"/>
    <n v="14640686"/>
    <n v="7338843"/>
    <n v="19282.599999999999"/>
    <n v="16080.2"/>
    <n v="0.81556113635759653"/>
    <n v="50.126360199242029"/>
    <n v="0.14716707858300779"/>
    <n v="5.4916142590586258E-3"/>
  </r>
  <r>
    <s v="ZE2023016"/>
    <x v="2"/>
    <x v="3"/>
    <n v="171999"/>
    <n v="64691"/>
    <n v="107308"/>
    <n v="191465"/>
    <n v="27289"/>
    <n v="164176"/>
    <n v="149968"/>
    <n v="5698956"/>
    <n v="6403096"/>
    <n v="34399.800000000003"/>
    <n v="21461.599999999999"/>
    <n v="0.78326587104692769"/>
    <n v="112.35559635835055"/>
    <n v="0.14252735486903612"/>
    <n v="1.882941366804727E-2"/>
  </r>
  <r>
    <s v="ZE2023017"/>
    <x v="2"/>
    <x v="3"/>
    <n v="136365"/>
    <n v="54139"/>
    <n v="82226"/>
    <n v="150939"/>
    <n v="44734"/>
    <n v="106205"/>
    <n v="97153"/>
    <n v="9257950"/>
    <n v="11654406"/>
    <n v="27273"/>
    <n v="16445.2"/>
    <n v="0.6436573715209456"/>
    <n v="125.88538499343807"/>
    <n v="0.29637138181649542"/>
    <n v="8.8816638672708313E-3"/>
  </r>
  <r>
    <s v="ZE2023018"/>
    <x v="2"/>
    <x v="3"/>
    <n v="68743"/>
    <n v="58368"/>
    <n v="10375"/>
    <n v="120400"/>
    <n v="89172"/>
    <n v="31228"/>
    <n v="22787"/>
    <n v="13544291"/>
    <n v="14392083"/>
    <n v="13748.6"/>
    <n v="2075"/>
    <n v="0.1892607973421927"/>
    <n v="106.25940479276473"/>
    <n v="0.74063122923588043"/>
    <n v="7.6600539666491223E-4"/>
  </r>
  <r>
    <s v="ZE2023019"/>
    <x v="2"/>
    <x v="3"/>
    <n v="157971"/>
    <n v="22149"/>
    <n v="135822"/>
    <n v="215011"/>
    <n v="36675"/>
    <n v="178336"/>
    <n v="170841"/>
    <n v="18149868"/>
    <n v="4455465"/>
    <n v="31594.2"/>
    <n v="27164.400000000001"/>
    <n v="0.7945686499760477"/>
    <n v="24.548195061253338"/>
    <n v="0.1705726683751064"/>
    <n v="7.4833602095618545E-3"/>
  </r>
  <r>
    <s v="ZE2023020"/>
    <x v="2"/>
    <x v="3"/>
    <n v="138204"/>
    <n v="75429"/>
    <n v="62775"/>
    <n v="106444"/>
    <n v="49068"/>
    <n v="57376"/>
    <n v="45941"/>
    <n v="11516616"/>
    <n v="6329049"/>
    <n v="27640.799999999999"/>
    <n v="12555"/>
    <n v="0.43159783548156777"/>
    <n v="54.955804725971589"/>
    <n v="0.46097478486340238"/>
    <n v="5.4508199283539536E-3"/>
  </r>
  <r>
    <s v="ZE2024001"/>
    <x v="2"/>
    <x v="4"/>
    <n v="87384"/>
    <n v="41401"/>
    <n v="45983"/>
    <n v="137814"/>
    <n v="49084"/>
    <n v="88730"/>
    <n v="74393"/>
    <n v="11396567"/>
    <n v="12886226"/>
    <n v="17476.8"/>
    <n v="9196.6"/>
    <n v="0.53980727647408822"/>
    <n v="113.07112045232569"/>
    <n v="0.35616120278055929"/>
    <n v="4.034811535789681E-3"/>
  </r>
  <r>
    <s v="ZE2024002"/>
    <x v="2"/>
    <x v="4"/>
    <n v="188299"/>
    <n v="41910"/>
    <n v="146389"/>
    <n v="202430"/>
    <n v="80681"/>
    <n v="121749"/>
    <n v="114739"/>
    <n v="16878051"/>
    <n v="8439433"/>
    <n v="37659.800000000003"/>
    <n v="29277.8"/>
    <n v="0.56680827940522649"/>
    <n v="50.002414378295221"/>
    <n v="0.39856246603764262"/>
    <n v="8.6733355646336184E-3"/>
  </r>
  <r>
    <s v="ZE2024003"/>
    <x v="2"/>
    <x v="4"/>
    <n v="177556"/>
    <n v="74174"/>
    <n v="103382"/>
    <n v="149542"/>
    <n v="32633"/>
    <n v="116909"/>
    <n v="97895"/>
    <n v="5866964"/>
    <n v="11437712"/>
    <n v="35511.199999999997"/>
    <n v="20676.400000000001"/>
    <n v="0.6546321434780864"/>
    <n v="194.95111952280598"/>
    <n v="0.21821963060544863"/>
    <n v="1.7621038751899621E-2"/>
  </r>
  <r>
    <s v="ZE2024004"/>
    <x v="2"/>
    <x v="4"/>
    <n v="127231"/>
    <n v="78388"/>
    <n v="48843"/>
    <n v="84857"/>
    <n v="48755"/>
    <n v="36102"/>
    <n v="26480"/>
    <n v="10334538"/>
    <n v="9349449"/>
    <n v="25446.2"/>
    <n v="9768.6"/>
    <n v="0.31205439739797541"/>
    <n v="90.467991892816116"/>
    <n v="0.57455483931791129"/>
    <n v="4.7261909530934036E-3"/>
  </r>
  <r>
    <s v="ZE2024005"/>
    <x v="2"/>
    <x v="4"/>
    <n v="57421"/>
    <n v="27727"/>
    <n v="29694"/>
    <n v="54052"/>
    <n v="80108"/>
    <n v="-26056"/>
    <n v="-39599"/>
    <n v="19578363"/>
    <n v="12881901"/>
    <n v="11484.2"/>
    <n v="5938.8"/>
    <n v="-0.73260933915488791"/>
    <n v="65.796619462005069"/>
    <n v="1.4820543180640864"/>
    <n v="1.5166743000934245E-3"/>
  </r>
  <r>
    <s v="ZE2024006"/>
    <x v="2"/>
    <x v="4"/>
    <n v="88467"/>
    <n v="27625"/>
    <n v="60842"/>
    <n v="114735"/>
    <n v="91329"/>
    <n v="23406"/>
    <n v="14642"/>
    <n v="10559277"/>
    <n v="6258084"/>
    <n v="17693.400000000001"/>
    <n v="12168.4"/>
    <n v="0.12761581034557895"/>
    <n v="59.266216806321111"/>
    <n v="0.7959994770558243"/>
    <n v="5.76194752727862E-3"/>
  </r>
  <r>
    <s v="ZE2024007"/>
    <x v="2"/>
    <x v="4"/>
    <n v="160944"/>
    <n v="24210"/>
    <n v="136734"/>
    <n v="173190"/>
    <n v="46367"/>
    <n v="126823"/>
    <n v="114717"/>
    <n v="19748072"/>
    <n v="7310796"/>
    <n v="32188.799999999999"/>
    <n v="27346.799999999999"/>
    <n v="0.66237658063398575"/>
    <n v="37.020302538901014"/>
    <n v="0.26772330965991109"/>
    <n v="6.9239164208030031E-3"/>
  </r>
  <r>
    <s v="ZE2024008"/>
    <x v="2"/>
    <x v="4"/>
    <n v="122240"/>
    <n v="74315"/>
    <n v="47925"/>
    <n v="137174"/>
    <n v="85587"/>
    <n v="51587"/>
    <n v="38831"/>
    <n v="18930010"/>
    <n v="7077716"/>
    <n v="24448"/>
    <n v="9585"/>
    <n v="0.28307842594077592"/>
    <n v="37.388865616024503"/>
    <n v="0.6239301908524939"/>
    <n v="2.5316943836796706E-3"/>
  </r>
  <r>
    <s v="ZE2024009"/>
    <x v="2"/>
    <x v="4"/>
    <n v="175703"/>
    <n v="66549"/>
    <n v="109154"/>
    <n v="163657"/>
    <n v="88794"/>
    <n v="74863"/>
    <n v="64884"/>
    <n v="5493948"/>
    <n v="7168962"/>
    <n v="35140.6"/>
    <n v="21830.799999999999"/>
    <n v="0.39646333490165409"/>
    <n v="130.48834826976886"/>
    <n v="0.54256157695668383"/>
    <n v="1.9868043891205379E-2"/>
  </r>
  <r>
    <s v="ZE2024010"/>
    <x v="2"/>
    <x v="4"/>
    <n v="124069"/>
    <n v="15249"/>
    <n v="108820"/>
    <n v="148021"/>
    <n v="73576"/>
    <n v="74445"/>
    <n v="62759"/>
    <n v="6554205"/>
    <n v="9606963"/>
    <n v="24813.8"/>
    <n v="21764"/>
    <n v="0.42398713696029616"/>
    <n v="146.57709058535704"/>
    <n v="0.49706460569784017"/>
    <n v="1.6603081533153145E-2"/>
  </r>
  <r>
    <s v="ZE2024011"/>
    <x v="2"/>
    <x v="4"/>
    <n v="147543"/>
    <n v="10661"/>
    <n v="136882"/>
    <n v="201725"/>
    <n v="75963"/>
    <n v="125762"/>
    <n v="108974"/>
    <n v="19722892"/>
    <n v="12223644"/>
    <n v="29508.6"/>
    <n v="27376.400000000001"/>
    <n v="0.54021068286032969"/>
    <n v="61.976935228363061"/>
    <n v="0.37656710868756971"/>
    <n v="6.940260079505582E-3"/>
  </r>
  <r>
    <s v="ZE2024012"/>
    <x v="2"/>
    <x v="4"/>
    <n v="60526"/>
    <n v="78910"/>
    <n v="-18384"/>
    <n v="27208"/>
    <n v="43982"/>
    <n v="-16774"/>
    <n v="-18981"/>
    <n v="18863529"/>
    <n v="6496605"/>
    <n v="12105.2"/>
    <n v="-3676.8"/>
    <n v="-0.69762569832402233"/>
    <n v="34.44002975265127"/>
    <n v="1.6165098500441046"/>
    <n v="-9.7457904085709521E-4"/>
  </r>
  <r>
    <s v="ZE2024013"/>
    <x v="2"/>
    <x v="4"/>
    <n v="174982"/>
    <n v="78619"/>
    <n v="96363"/>
    <n v="145691"/>
    <n v="61479"/>
    <n v="84212"/>
    <n v="72089"/>
    <n v="8296903"/>
    <n v="13656723"/>
    <n v="34996.400000000001"/>
    <n v="19272.599999999999"/>
    <n v="0.49480750355203823"/>
    <n v="164.60024903268123"/>
    <n v="0.42198214028320213"/>
    <n v="1.1614333685713813E-2"/>
  </r>
  <r>
    <s v="ZE2024014"/>
    <x v="2"/>
    <x v="4"/>
    <n v="191826"/>
    <n v="65922"/>
    <n v="125904"/>
    <n v="194135"/>
    <n v="44301"/>
    <n v="149834"/>
    <n v="139279"/>
    <n v="11310208"/>
    <n v="12404024"/>
    <n v="38365.199999999997"/>
    <n v="25180.799999999999"/>
    <n v="0.71743374455919851"/>
    <n v="109.67105114247235"/>
    <n v="0.22819687330981017"/>
    <n v="1.1131890766288295E-2"/>
  </r>
  <r>
    <s v="ZE2024015"/>
    <x v="2"/>
    <x v="4"/>
    <n v="148452"/>
    <n v="23395"/>
    <n v="125057"/>
    <n v="231014"/>
    <n v="71273"/>
    <n v="159741"/>
    <n v="152846"/>
    <n v="16654304"/>
    <n v="10940879"/>
    <n v="29690.400000000001"/>
    <n v="25011.4"/>
    <n v="0.66163089682876364"/>
    <n v="65.694003183801613"/>
    <n v="0.30852242721220358"/>
    <n v="7.5089898683247287E-3"/>
  </r>
  <r>
    <s v="ZE2024016"/>
    <x v="2"/>
    <x v="4"/>
    <n v="60699"/>
    <n v="75061"/>
    <n v="-14362"/>
    <n v="15353"/>
    <n v="34169"/>
    <n v="-18816"/>
    <n v="-36979"/>
    <n v="15080736"/>
    <n v="6413654"/>
    <n v="12139.8"/>
    <n v="-2872.4"/>
    <n v="-2.4085846414381553"/>
    <n v="42.528786393449231"/>
    <n v="2.2255585227642807"/>
    <n v="-9.523407876114269E-4"/>
  </r>
  <r>
    <s v="ZE2024017"/>
    <x v="2"/>
    <x v="4"/>
    <n v="174481"/>
    <n v="45585"/>
    <n v="128896"/>
    <n v="179578"/>
    <n v="62864"/>
    <n v="116714"/>
    <n v="109415"/>
    <n v="15135229"/>
    <n v="11117654"/>
    <n v="34896.199999999997"/>
    <n v="25779.200000000001"/>
    <n v="0.60928955662720374"/>
    <n v="73.455472659184736"/>
    <n v="0.35006515274699573"/>
    <n v="8.5162900409369423E-3"/>
  </r>
  <r>
    <s v="ZE2024018"/>
    <x v="2"/>
    <x v="4"/>
    <n v="68073"/>
    <n v="46035"/>
    <n v="22038"/>
    <n v="107015"/>
    <n v="98362"/>
    <n v="8653"/>
    <n v="-3729"/>
    <n v="5726331"/>
    <n v="4794291"/>
    <n v="13614.6"/>
    <n v="4407.6000000000004"/>
    <n v="-3.4845582394991359E-2"/>
    <n v="83.723609410633088"/>
    <n v="0.91914217633042095"/>
    <n v="3.8485375714397228E-3"/>
  </r>
  <r>
    <s v="ZE2024019"/>
    <x v="2"/>
    <x v="4"/>
    <n v="111929"/>
    <n v="22329"/>
    <n v="89600"/>
    <n v="134769"/>
    <n v="49594"/>
    <n v="85175"/>
    <n v="71754"/>
    <n v="17774615"/>
    <n v="8287913"/>
    <n v="22385.8"/>
    <n v="17920"/>
    <n v="0.5324221445584667"/>
    <n v="46.627806003111743"/>
    <n v="0.36799263925680237"/>
    <n v="5.0408968070475785E-3"/>
  </r>
  <r>
    <s v="ZE2024020"/>
    <x v="2"/>
    <x v="4"/>
    <n v="113133"/>
    <n v="62290"/>
    <n v="50843"/>
    <n v="164874"/>
    <n v="46750"/>
    <n v="118124"/>
    <n v="108431"/>
    <n v="17001352"/>
    <n v="12515406"/>
    <n v="22626.6"/>
    <n v="10168.6"/>
    <n v="0.65765978868711861"/>
    <n v="73.614180801620961"/>
    <n v="0.28354986231910428"/>
    <n v="2.9905268710394327E-3"/>
  </r>
  <r>
    <s v="UB2020001"/>
    <x v="3"/>
    <x v="0"/>
    <n v="162020"/>
    <n v="34226"/>
    <n v="127794"/>
    <n v="154515"/>
    <n v="71154"/>
    <n v="83361"/>
    <n v="73988"/>
    <n v="17687123"/>
    <n v="14720657"/>
    <n v="32404"/>
    <n v="25558.799999999999"/>
    <n v="0.47884024204769765"/>
    <n v="83.228103293000217"/>
    <n v="0.46049898068148726"/>
    <n v="7.2252564761380355E-3"/>
  </r>
  <r>
    <s v="UB2020002"/>
    <x v="3"/>
    <x v="0"/>
    <n v="186728"/>
    <n v="73740"/>
    <n v="112988"/>
    <n v="197297"/>
    <n v="44984"/>
    <n v="152313"/>
    <n v="142027"/>
    <n v="16540237"/>
    <n v="13648384"/>
    <n v="37345.599999999999"/>
    <n v="22597.599999999999"/>
    <n v="0.71986396143884601"/>
    <n v="82.516254150409083"/>
    <n v="0.22800143945422383"/>
    <n v="6.8310992158093021E-3"/>
  </r>
  <r>
    <s v="UB2020003"/>
    <x v="3"/>
    <x v="0"/>
    <n v="81055"/>
    <n v="47685"/>
    <n v="33370"/>
    <n v="127335"/>
    <n v="29716"/>
    <n v="97619"/>
    <n v="79824"/>
    <n v="16021186"/>
    <n v="3968616"/>
    <n v="16211"/>
    <n v="6674"/>
    <n v="0.62688184709624217"/>
    <n v="24.771050033374557"/>
    <n v="0.23336867318490595"/>
    <n v="2.0828670237022402E-3"/>
  </r>
  <r>
    <s v="UB2020004"/>
    <x v="3"/>
    <x v="0"/>
    <n v="73429"/>
    <n v="60200"/>
    <n v="13229"/>
    <n v="104537"/>
    <n v="63244"/>
    <n v="41293"/>
    <n v="23542"/>
    <n v="12179156"/>
    <n v="13197985"/>
    <n v="14685.8"/>
    <n v="2645.8"/>
    <n v="0.22520255985918861"/>
    <n v="108.36534978285852"/>
    <n v="0.6049915340979749"/>
    <n v="1.0862000618105229E-3"/>
  </r>
  <r>
    <s v="UB2020005"/>
    <x v="3"/>
    <x v="0"/>
    <n v="67347"/>
    <n v="26920"/>
    <n v="40427"/>
    <n v="92249"/>
    <n v="61659"/>
    <n v="30590"/>
    <n v="21250"/>
    <n v="16401147"/>
    <n v="7202271"/>
    <n v="13469.4"/>
    <n v="8085.4"/>
    <n v="0.23035480059404437"/>
    <n v="43.913215337927284"/>
    <n v="0.66839748940367916"/>
    <n v="2.4648885837069809E-3"/>
  </r>
  <r>
    <s v="UB2020006"/>
    <x v="3"/>
    <x v="0"/>
    <n v="160719"/>
    <n v="21871"/>
    <n v="138848"/>
    <n v="253147"/>
    <n v="92452"/>
    <n v="160695"/>
    <n v="149961"/>
    <n v="14601869"/>
    <n v="7746771"/>
    <n v="32143.8"/>
    <n v="27769.599999999999"/>
    <n v="0.592387032040672"/>
    <n v="53.053283795382633"/>
    <n v="0.36521072736394267"/>
    <n v="9.5089197143187632E-3"/>
  </r>
  <r>
    <s v="UB2020007"/>
    <x v="3"/>
    <x v="0"/>
    <n v="105099"/>
    <n v="45262"/>
    <n v="59837"/>
    <n v="158050"/>
    <n v="33268"/>
    <n v="124782"/>
    <n v="110452"/>
    <n v="15309885"/>
    <n v="7254849"/>
    <n v="21019.8"/>
    <n v="11967.4"/>
    <n v="0.69884213856374566"/>
    <n v="47.38669820184802"/>
    <n v="0.21049035115469789"/>
    <n v="3.90838990625991E-3"/>
  </r>
  <r>
    <s v="UB2020008"/>
    <x v="3"/>
    <x v="0"/>
    <n v="89922"/>
    <n v="52913"/>
    <n v="37009"/>
    <n v="154042"/>
    <n v="70677"/>
    <n v="83365"/>
    <n v="77515"/>
    <n v="6491633"/>
    <n v="12922462"/>
    <n v="17984.400000000001"/>
    <n v="7401.8"/>
    <n v="0.50320691759390301"/>
    <n v="199.06334815908414"/>
    <n v="0.45881642668882511"/>
    <n v="5.7010308500187856E-3"/>
  </r>
  <r>
    <s v="UB2020009"/>
    <x v="3"/>
    <x v="0"/>
    <n v="169863"/>
    <n v="35032"/>
    <n v="134831"/>
    <n v="192677"/>
    <n v="74474"/>
    <n v="118203"/>
    <n v="104035"/>
    <n v="11976610"/>
    <n v="4765524"/>
    <n v="33972.6"/>
    <n v="26966.2"/>
    <n v="0.5399450894502198"/>
    <n v="39.790257844248075"/>
    <n v="0.38652252214846611"/>
    <n v="1.1257860112335628E-2"/>
  </r>
  <r>
    <s v="UB2020010"/>
    <x v="3"/>
    <x v="0"/>
    <n v="78141"/>
    <n v="19074"/>
    <n v="59067"/>
    <n v="85473"/>
    <n v="38291"/>
    <n v="47182"/>
    <n v="36382"/>
    <n v="11913283"/>
    <n v="4619715"/>
    <n v="15628.2"/>
    <n v="11813.4"/>
    <n v="0.42565488516841576"/>
    <n v="38.77784990082079"/>
    <n v="0.44798942356065657"/>
    <n v="4.9580791457736716E-3"/>
  </r>
  <r>
    <s v="UB2020011"/>
    <x v="3"/>
    <x v="0"/>
    <n v="104823"/>
    <n v="33312"/>
    <n v="71511"/>
    <n v="134619"/>
    <n v="81918"/>
    <n v="52701"/>
    <n v="49298"/>
    <n v="11726451"/>
    <n v="11064220"/>
    <n v="20964.599999999999"/>
    <n v="14302.2"/>
    <n v="0.36620387909581859"/>
    <n v="94.352673285378501"/>
    <n v="0.60851737124774363"/>
    <n v="6.0982645132785698E-3"/>
  </r>
  <r>
    <s v="UB2020012"/>
    <x v="3"/>
    <x v="0"/>
    <n v="148723"/>
    <n v="22411"/>
    <n v="126312"/>
    <n v="203321"/>
    <n v="30422"/>
    <n v="172899"/>
    <n v="161199"/>
    <n v="15542782"/>
    <n v="5430525"/>
    <n v="29744.6"/>
    <n v="25262.400000000001"/>
    <n v="0.79283005690509101"/>
    <n v="34.939208437717262"/>
    <n v="0.1496254690858298"/>
    <n v="8.1267304656270668E-3"/>
  </r>
  <r>
    <s v="UB2020013"/>
    <x v="3"/>
    <x v="0"/>
    <n v="149071"/>
    <n v="61196"/>
    <n v="87875"/>
    <n v="188229"/>
    <n v="41715"/>
    <n v="146514"/>
    <n v="142965"/>
    <n v="9749766"/>
    <n v="4546236"/>
    <n v="29814.2"/>
    <n v="17575"/>
    <n v="0.75952695918269764"/>
    <n v="46.629180638796868"/>
    <n v="0.22161834786350668"/>
    <n v="9.0130368257043299E-3"/>
  </r>
  <r>
    <s v="UB2020014"/>
    <x v="3"/>
    <x v="0"/>
    <n v="126373"/>
    <n v="79252"/>
    <n v="47121"/>
    <n v="129070"/>
    <n v="77646"/>
    <n v="51424"/>
    <n v="44943"/>
    <n v="9257341"/>
    <n v="6759834"/>
    <n v="25274.6"/>
    <n v="9424.2000000000007"/>
    <n v="0.34820639962810879"/>
    <n v="73.021335176051096"/>
    <n v="0.6015805376927249"/>
    <n v="5.0901225308649647E-3"/>
  </r>
  <r>
    <s v="UB2020015"/>
    <x v="3"/>
    <x v="0"/>
    <n v="56548"/>
    <n v="33177"/>
    <n v="23371"/>
    <n v="67393"/>
    <n v="20542"/>
    <n v="46851"/>
    <n v="30023"/>
    <n v="18819092"/>
    <n v="6246417"/>
    <n v="11309.6"/>
    <n v="4674.2"/>
    <n v="0.44549137150742657"/>
    <n v="33.191914891536747"/>
    <n v="0.30480910480316947"/>
    <n v="1.2418771320104073E-3"/>
  </r>
  <r>
    <s v="UB2020016"/>
    <x v="3"/>
    <x v="0"/>
    <n v="181743"/>
    <n v="10163"/>
    <n v="171580"/>
    <n v="233004"/>
    <n v="68744"/>
    <n v="164260"/>
    <n v="157465"/>
    <n v="11695306"/>
    <n v="8378750"/>
    <n v="36348.6"/>
    <n v="34316"/>
    <n v="0.67580384886096379"/>
    <n v="71.641990384860392"/>
    <n v="0.29503356165559391"/>
    <n v="1.4670843157075154E-2"/>
  </r>
  <r>
    <s v="UB2020017"/>
    <x v="3"/>
    <x v="0"/>
    <n v="72420"/>
    <n v="39300"/>
    <n v="33120"/>
    <n v="143001"/>
    <n v="25749"/>
    <n v="117252"/>
    <n v="109425"/>
    <n v="10923361"/>
    <n v="4963571"/>
    <n v="14484"/>
    <n v="6624"/>
    <n v="0.7652044391297963"/>
    <n v="45.439961198755583"/>
    <n v="0.1800616778903644"/>
    <n v="3.0320338218246196E-3"/>
  </r>
  <r>
    <s v="UB2020018"/>
    <x v="3"/>
    <x v="0"/>
    <n v="87487"/>
    <n v="43361"/>
    <n v="44126"/>
    <n v="85349"/>
    <n v="87930"/>
    <n v="-2581"/>
    <n v="-18637"/>
    <n v="8436252"/>
    <n v="3817052"/>
    <n v="17497.400000000001"/>
    <n v="8825.2000000000007"/>
    <n v="-0.21836225380496549"/>
    <n v="45.245827175385465"/>
    <n v="1.0302405417755334"/>
    <n v="5.2305218004393417E-3"/>
  </r>
  <r>
    <s v="UB2020019"/>
    <x v="3"/>
    <x v="0"/>
    <n v="167360"/>
    <n v="63352"/>
    <n v="104008"/>
    <n v="154919"/>
    <n v="47784"/>
    <n v="107135"/>
    <n v="101944"/>
    <n v="17485000"/>
    <n v="9119848"/>
    <n v="33472"/>
    <n v="20801.599999999999"/>
    <n v="0.65804710848895231"/>
    <n v="52.158124106376889"/>
    <n v="0.30844505838534975"/>
    <n v="5.9484129253645985E-3"/>
  </r>
  <r>
    <s v="UB2020020"/>
    <x v="3"/>
    <x v="0"/>
    <n v="154576"/>
    <n v="74641"/>
    <n v="79935"/>
    <n v="149658"/>
    <n v="18631"/>
    <n v="131027"/>
    <n v="122855"/>
    <n v="13692832"/>
    <n v="7414473"/>
    <n v="30915.200000000001"/>
    <n v="15987"/>
    <n v="0.82090499672586836"/>
    <n v="54.148572041196438"/>
    <n v="0.12449050501810795"/>
    <n v="5.8377258992150056E-3"/>
  </r>
  <r>
    <s v="UB2021001"/>
    <x v="3"/>
    <x v="1"/>
    <n v="140353"/>
    <n v="30281"/>
    <n v="110072"/>
    <n v="158743"/>
    <n v="66431"/>
    <n v="92312"/>
    <n v="81406"/>
    <n v="19021366"/>
    <n v="5518970"/>
    <n v="28070.6"/>
    <n v="22014.400000000001"/>
    <n v="0.51281631316026532"/>
    <n v="29.014582864343179"/>
    <n v="0.41848144485111155"/>
    <n v="5.7867557987160336E-3"/>
  </r>
  <r>
    <s v="UB2021002"/>
    <x v="3"/>
    <x v="1"/>
    <n v="101399"/>
    <n v="33472"/>
    <n v="67927"/>
    <n v="137157"/>
    <n v="88616"/>
    <n v="48541"/>
    <n v="39442"/>
    <n v="11016854"/>
    <n v="14952983"/>
    <n v="20279.8"/>
    <n v="13585.4"/>
    <n v="0.2875682611897315"/>
    <n v="135.72824873598216"/>
    <n v="0.64609170512624214"/>
    <n v="6.1657347914386446E-3"/>
  </r>
  <r>
    <s v="UB2021003"/>
    <x v="3"/>
    <x v="1"/>
    <n v="106492"/>
    <n v="57684"/>
    <n v="48808"/>
    <n v="98919"/>
    <n v="78936"/>
    <n v="19983"/>
    <n v="8760"/>
    <n v="16211596"/>
    <n v="14857400"/>
    <n v="21298.400000000001"/>
    <n v="9761.6"/>
    <n v="8.8557304461225853E-2"/>
    <n v="91.64674471285862"/>
    <n v="0.79798623115882694"/>
    <n v="3.0106844508091617E-3"/>
  </r>
  <r>
    <s v="UB2021004"/>
    <x v="3"/>
    <x v="1"/>
    <n v="113530"/>
    <n v="46224"/>
    <n v="67306"/>
    <n v="95094"/>
    <n v="43082"/>
    <n v="52012"/>
    <n v="47301"/>
    <n v="6780752"/>
    <n v="6293331"/>
    <n v="22706"/>
    <n v="13461.2"/>
    <n v="0.49741308599911666"/>
    <n v="92.811696991720098"/>
    <n v="0.45304645929291015"/>
    <n v="9.9260377020129915E-3"/>
  </r>
  <r>
    <s v="UB2021005"/>
    <x v="3"/>
    <x v="1"/>
    <n v="138340"/>
    <n v="54857"/>
    <n v="83483"/>
    <n v="113625"/>
    <n v="63355"/>
    <n v="50270"/>
    <n v="38404"/>
    <n v="13589747"/>
    <n v="8222798"/>
    <n v="27668"/>
    <n v="16696.599999999999"/>
    <n v="0.33798899889988998"/>
    <n v="60.507366325509956"/>
    <n v="0.55757975797579762"/>
    <n v="6.143087137678133E-3"/>
  </r>
  <r>
    <s v="UB2021006"/>
    <x v="3"/>
    <x v="1"/>
    <n v="175426"/>
    <n v="74027"/>
    <n v="101399"/>
    <n v="179305"/>
    <n v="43138"/>
    <n v="136167"/>
    <n v="125203"/>
    <n v="5629085"/>
    <n v="13348533"/>
    <n v="35085.199999999997"/>
    <n v="20279.8"/>
    <n v="0.69826831376704501"/>
    <n v="237.13504059718412"/>
    <n v="0.24058447896043056"/>
    <n v="1.8013407152316939E-2"/>
  </r>
  <r>
    <s v="UB2021007"/>
    <x v="3"/>
    <x v="1"/>
    <n v="176303"/>
    <n v="15439"/>
    <n v="160864"/>
    <n v="228105"/>
    <n v="57533"/>
    <n v="170572"/>
    <n v="155293"/>
    <n v="17622191"/>
    <n v="4989968"/>
    <n v="35260.6"/>
    <n v="32172.799999999999"/>
    <n v="0.68079612459174499"/>
    <n v="28.316388126765851"/>
    <n v="0.25222156463032375"/>
    <n v="9.1284903222306462E-3"/>
  </r>
  <r>
    <s v="UB2021008"/>
    <x v="3"/>
    <x v="1"/>
    <n v="198702"/>
    <n v="71063"/>
    <n v="127639"/>
    <n v="182783"/>
    <n v="67161"/>
    <n v="115622"/>
    <n v="101798"/>
    <n v="11473507"/>
    <n v="10437693"/>
    <n v="39740.400000000001"/>
    <n v="25527.8"/>
    <n v="0.55693363168347165"/>
    <n v="90.972123867619544"/>
    <n v="0.36743570244497575"/>
    <n v="1.1124671820045954E-2"/>
  </r>
  <r>
    <s v="UB2021009"/>
    <x v="3"/>
    <x v="1"/>
    <n v="188051"/>
    <n v="36189"/>
    <n v="151862"/>
    <n v="214462"/>
    <n v="74560"/>
    <n v="139902"/>
    <n v="125398"/>
    <n v="17706169"/>
    <n v="10270518"/>
    <n v="37610.199999999997"/>
    <n v="30372.400000000001"/>
    <n v="0.58470964553160931"/>
    <n v="58.005308771197207"/>
    <n v="0.34766065783215677"/>
    <n v="8.5767847353089201E-3"/>
  </r>
  <r>
    <s v="UB2021010"/>
    <x v="3"/>
    <x v="1"/>
    <n v="136205"/>
    <n v="16910"/>
    <n v="119295"/>
    <n v="197008"/>
    <n v="61857"/>
    <n v="135151"/>
    <n v="130955"/>
    <n v="6003171"/>
    <n v="10214938"/>
    <n v="27241"/>
    <n v="23859"/>
    <n v="0.66471919922033618"/>
    <n v="170.15903761528699"/>
    <n v="0.31398217331275885"/>
    <n v="1.9871997649242374E-2"/>
  </r>
  <r>
    <s v="UB2021011"/>
    <x v="3"/>
    <x v="1"/>
    <n v="67153"/>
    <n v="69765"/>
    <n v="-2612"/>
    <n v="116472"/>
    <n v="54071"/>
    <n v="62401"/>
    <n v="45715"/>
    <n v="10312399"/>
    <n v="3981883"/>
    <n v="13430.6"/>
    <n v="-522.4"/>
    <n v="0.39249776770382583"/>
    <n v="38.612576957117348"/>
    <n v="0.46424033244041485"/>
    <n v="-2.5328732916559961E-4"/>
  </r>
  <r>
    <s v="UB2021012"/>
    <x v="3"/>
    <x v="1"/>
    <n v="145457"/>
    <n v="67866"/>
    <n v="77591"/>
    <n v="114496"/>
    <n v="60838"/>
    <n v="53658"/>
    <n v="39426"/>
    <n v="9609688"/>
    <n v="7264423"/>
    <n v="29091.4"/>
    <n v="15518.2"/>
    <n v="0.34434390721073227"/>
    <n v="75.5947851792899"/>
    <n v="0.53135480715483507"/>
    <n v="8.0742475718254322E-3"/>
  </r>
  <r>
    <s v="UB2021013"/>
    <x v="3"/>
    <x v="1"/>
    <n v="88714"/>
    <n v="64093"/>
    <n v="24621"/>
    <n v="100040"/>
    <n v="64145"/>
    <n v="35895"/>
    <n v="26767"/>
    <n v="12170837"/>
    <n v="4519603"/>
    <n v="17742.8"/>
    <n v="4924.2"/>
    <n v="0.26756297481007596"/>
    <n v="37.134693365789055"/>
    <n v="0.64119352259096363"/>
    <n v="2.0229504347153773E-3"/>
  </r>
  <r>
    <s v="UB2021014"/>
    <x v="3"/>
    <x v="1"/>
    <n v="183533"/>
    <n v="24291"/>
    <n v="159242"/>
    <n v="226046"/>
    <n v="91971"/>
    <n v="134075"/>
    <n v="131390"/>
    <n v="9278384"/>
    <n v="8495671"/>
    <n v="36706.6"/>
    <n v="31848.400000000001"/>
    <n v="0.58125337320722326"/>
    <n v="91.56412366636259"/>
    <n v="0.40686851348840503"/>
    <n v="1.7162686950658649E-2"/>
  </r>
  <r>
    <s v="UB2021015"/>
    <x v="3"/>
    <x v="1"/>
    <n v="127794"/>
    <n v="40841"/>
    <n v="86953"/>
    <n v="155711"/>
    <n v="91272"/>
    <n v="64439"/>
    <n v="57564"/>
    <n v="9113640"/>
    <n v="7500398"/>
    <n v="25558.799999999999"/>
    <n v="17390.599999999999"/>
    <n v="0.36968486490999353"/>
    <n v="82.298598584100318"/>
    <n v="0.58616282728901614"/>
    <n v="9.540973749237406E-3"/>
  </r>
  <r>
    <s v="UB2021016"/>
    <x v="3"/>
    <x v="1"/>
    <n v="150500"/>
    <n v="38044"/>
    <n v="112456"/>
    <n v="148453"/>
    <n v="94751"/>
    <n v="53702"/>
    <n v="51401"/>
    <n v="13281447"/>
    <n v="6895958"/>
    <n v="30100"/>
    <n v="22491.200000000001"/>
    <n v="0.34624426586192264"/>
    <n v="51.921737142044847"/>
    <n v="0.63825587896505964"/>
    <n v="8.467149701384194E-3"/>
  </r>
  <r>
    <s v="UB2021017"/>
    <x v="3"/>
    <x v="1"/>
    <n v="195643"/>
    <n v="67941"/>
    <n v="127702"/>
    <n v="205707"/>
    <n v="73712"/>
    <n v="131995"/>
    <n v="119222"/>
    <n v="7120539"/>
    <n v="3880412"/>
    <n v="39128.6"/>
    <n v="25540.400000000001"/>
    <n v="0.57957191539422581"/>
    <n v="54.496043066402699"/>
    <n v="0.35833491325039984"/>
    <n v="1.7934316489243301E-2"/>
  </r>
  <r>
    <s v="UB2021018"/>
    <x v="3"/>
    <x v="1"/>
    <n v="135457"/>
    <n v="23057"/>
    <n v="112400"/>
    <n v="196428"/>
    <n v="70731"/>
    <n v="125697"/>
    <n v="107776"/>
    <n v="16054686"/>
    <n v="3484814"/>
    <n v="27091.4"/>
    <n v="22480"/>
    <n v="0.54867941434011447"/>
    <n v="21.705899448921016"/>
    <n v="0.36008613843240272"/>
    <n v="7.0010712137253883E-3"/>
  </r>
  <r>
    <s v="UB2021019"/>
    <x v="3"/>
    <x v="1"/>
    <n v="70567"/>
    <n v="39739"/>
    <n v="30828"/>
    <n v="108632"/>
    <n v="18754"/>
    <n v="89878"/>
    <n v="86154"/>
    <n v="10309792"/>
    <n v="5353847"/>
    <n v="14113.4"/>
    <n v="6165.6"/>
    <n v="0.79308122836733186"/>
    <n v="51.929728553204569"/>
    <n v="0.17263789675233818"/>
    <n v="2.9901670179184993E-3"/>
  </r>
  <r>
    <s v="UB2021020"/>
    <x v="3"/>
    <x v="1"/>
    <n v="58706"/>
    <n v="18894"/>
    <n v="39812"/>
    <n v="77849"/>
    <n v="98986"/>
    <n v="-21137"/>
    <n v="-39543"/>
    <n v="10949852"/>
    <n v="3029725"/>
    <n v="11741.2"/>
    <n v="7962.4"/>
    <n v="-0.50794486762835744"/>
    <n v="27.669095436175756"/>
    <n v="1.2715128004213285"/>
    <n v="3.6358482288162434E-3"/>
  </r>
  <r>
    <s v="UB2022001"/>
    <x v="3"/>
    <x v="2"/>
    <n v="186998"/>
    <n v="19496"/>
    <n v="167502"/>
    <n v="243949"/>
    <n v="44806"/>
    <n v="199143"/>
    <n v="188590"/>
    <n v="19408889"/>
    <n v="9524559"/>
    <n v="37399.599999999999"/>
    <n v="33500.400000000001"/>
    <n v="0.77307142066579493"/>
    <n v="49.073179819823793"/>
    <n v="0.18366953748529405"/>
    <n v="8.6301694033079374E-3"/>
  </r>
  <r>
    <s v="UB2022002"/>
    <x v="3"/>
    <x v="2"/>
    <n v="105147"/>
    <n v="59666"/>
    <n v="45481"/>
    <n v="147849"/>
    <n v="53787"/>
    <n v="94062"/>
    <n v="76599"/>
    <n v="15941922"/>
    <n v="6909439"/>
    <n v="21029.4"/>
    <n v="9096.2000000000007"/>
    <n v="0.51808940202503906"/>
    <n v="43.341317314185829"/>
    <n v="0.36379684678286628"/>
    <n v="2.8529182365840205E-3"/>
  </r>
  <r>
    <s v="UB2022003"/>
    <x v="3"/>
    <x v="2"/>
    <n v="145081"/>
    <n v="78056"/>
    <n v="67025"/>
    <n v="90106"/>
    <n v="49196"/>
    <n v="40910"/>
    <n v="34943"/>
    <n v="16245869"/>
    <n v="14614438"/>
    <n v="29016.2"/>
    <n v="13405"/>
    <n v="0.38779881472931882"/>
    <n v="89.957871751889655"/>
    <n v="0.54597918007679846"/>
    <n v="4.125664191924729E-3"/>
  </r>
  <r>
    <s v="UB2022004"/>
    <x v="3"/>
    <x v="2"/>
    <n v="126865"/>
    <n v="41656"/>
    <n v="85209"/>
    <n v="172904"/>
    <n v="52900"/>
    <n v="120004"/>
    <n v="103071"/>
    <n v="6681641"/>
    <n v="3516409"/>
    <n v="25373"/>
    <n v="17041.8"/>
    <n v="0.59611692037199837"/>
    <n v="52.627924786740266"/>
    <n v="0.30595012261139132"/>
    <n v="1.2752705510517551E-2"/>
  </r>
  <r>
    <s v="UB2022005"/>
    <x v="3"/>
    <x v="2"/>
    <n v="191877"/>
    <n v="45851"/>
    <n v="146026"/>
    <n v="192858"/>
    <n v="78437"/>
    <n v="114421"/>
    <n v="95000"/>
    <n v="19825080"/>
    <n v="7476321"/>
    <n v="38375.4"/>
    <n v="29205.200000000001"/>
    <n v="0.49259040330191123"/>
    <n v="37.711429159428363"/>
    <n v="0.40670856277675804"/>
    <n v="7.3657205923002584E-3"/>
  </r>
  <r>
    <s v="UB2022006"/>
    <x v="3"/>
    <x v="2"/>
    <n v="90372"/>
    <n v="25379"/>
    <n v="64993"/>
    <n v="121744"/>
    <n v="20110"/>
    <n v="101634"/>
    <n v="87547"/>
    <n v="13805586"/>
    <n v="4033316"/>
    <n v="18074.400000000001"/>
    <n v="12998.6"/>
    <n v="0.71910730713628601"/>
    <n v="29.21510177112366"/>
    <n v="0.16518267840714942"/>
    <n v="4.7077320730898346E-3"/>
  </r>
  <r>
    <s v="UB2022007"/>
    <x v="3"/>
    <x v="2"/>
    <n v="132617"/>
    <n v="19596"/>
    <n v="113021"/>
    <n v="151334"/>
    <n v="81549"/>
    <n v="69785"/>
    <n v="51175"/>
    <n v="9742297"/>
    <n v="6868452"/>
    <n v="26523.4"/>
    <n v="22604.2"/>
    <n v="0.33815930326298121"/>
    <n v="70.501361229287099"/>
    <n v="0.53886767018647497"/>
    <n v="1.1601062870491426E-2"/>
  </r>
  <r>
    <s v="UB2022008"/>
    <x v="3"/>
    <x v="2"/>
    <n v="123445"/>
    <n v="12023"/>
    <n v="111422"/>
    <n v="191218"/>
    <n v="95073"/>
    <n v="96145"/>
    <n v="88254"/>
    <n v="12008443"/>
    <n v="8276728"/>
    <n v="24689"/>
    <n v="22284.400000000001"/>
    <n v="0.46153604786160296"/>
    <n v="68.92423938723779"/>
    <n v="0.49719691660826909"/>
    <n v="9.2786383713525551E-3"/>
  </r>
  <r>
    <s v="UB2022009"/>
    <x v="3"/>
    <x v="2"/>
    <n v="196451"/>
    <n v="69664"/>
    <n v="126787"/>
    <n v="174553"/>
    <n v="83099"/>
    <n v="91454"/>
    <n v="86162"/>
    <n v="12303693"/>
    <n v="6214850"/>
    <n v="39290.199999999997"/>
    <n v="25357.4"/>
    <n v="0.49361511976305189"/>
    <n v="50.512069831391273"/>
    <n v="0.47606744083458891"/>
    <n v="1.0304792227829481E-2"/>
  </r>
  <r>
    <s v="UB2022010"/>
    <x v="3"/>
    <x v="2"/>
    <n v="197159"/>
    <n v="58868"/>
    <n v="138291"/>
    <n v="181516"/>
    <n v="21643"/>
    <n v="159873"/>
    <n v="153914"/>
    <n v="13268541"/>
    <n v="12546263"/>
    <n v="39431.800000000003"/>
    <n v="27658.2"/>
    <n v="0.84793627008087447"/>
    <n v="94.556462537968571"/>
    <n v="0.11923466801824632"/>
    <n v="1.042247222207777E-2"/>
  </r>
  <r>
    <s v="UB2022011"/>
    <x v="3"/>
    <x v="2"/>
    <n v="115697"/>
    <n v="26029"/>
    <n v="89668"/>
    <n v="123894"/>
    <n v="78646"/>
    <n v="45248"/>
    <n v="32094"/>
    <n v="14285424"/>
    <n v="5414802"/>
    <n v="23139.4"/>
    <n v="17933.599999999999"/>
    <n v="0.25904402150225192"/>
    <n v="37.904384217087291"/>
    <n v="0.63478457390995524"/>
    <n v="6.2768875463549423E-3"/>
  </r>
  <r>
    <s v="UB2022012"/>
    <x v="3"/>
    <x v="2"/>
    <n v="128229"/>
    <n v="59815"/>
    <n v="68414"/>
    <n v="130506"/>
    <n v="77539"/>
    <n v="52967"/>
    <n v="50426"/>
    <n v="11444345"/>
    <n v="5790373"/>
    <n v="25645.8"/>
    <n v="13682.8"/>
    <n v="0.38638836528588721"/>
    <n v="50.595931877272136"/>
    <n v="0.59414126553568414"/>
    <n v="5.9779742746308333E-3"/>
  </r>
  <r>
    <s v="UB2022013"/>
    <x v="3"/>
    <x v="2"/>
    <n v="63428"/>
    <n v="53934"/>
    <n v="9494"/>
    <n v="39752"/>
    <n v="72775"/>
    <n v="-33023"/>
    <n v="-51067"/>
    <n v="17546787"/>
    <n v="8510493"/>
    <n v="12685.6"/>
    <n v="1898.8"/>
    <n v="-1.2846397665526263"/>
    <n v="48.501717151977736"/>
    <n v="1.8307254980881464"/>
    <n v="5.4106771798164528E-4"/>
  </r>
  <r>
    <s v="UB2022014"/>
    <x v="3"/>
    <x v="2"/>
    <n v="78854"/>
    <n v="16256"/>
    <n v="62598"/>
    <n v="158854"/>
    <n v="48937"/>
    <n v="109917"/>
    <n v="107087"/>
    <n v="12997043"/>
    <n v="3181360"/>
    <n v="15770.8"/>
    <n v="12519.6"/>
    <n v="0.67412214989864905"/>
    <n v="24.477567705208024"/>
    <n v="0.30806274944288464"/>
    <n v="4.8163262982202949E-3"/>
  </r>
  <r>
    <s v="UB2022015"/>
    <x v="3"/>
    <x v="2"/>
    <n v="134730"/>
    <n v="35051"/>
    <n v="99679"/>
    <n v="147065"/>
    <n v="90054"/>
    <n v="57011"/>
    <n v="41753"/>
    <n v="18516600"/>
    <n v="14031669"/>
    <n v="26946"/>
    <n v="19935.8"/>
    <n v="0.28390847584401457"/>
    <n v="75.77886329023687"/>
    <n v="0.61234148165777036"/>
    <n v="5.3832237019755249E-3"/>
  </r>
  <r>
    <s v="UB2022016"/>
    <x v="3"/>
    <x v="2"/>
    <n v="127984"/>
    <n v="69792"/>
    <n v="58192"/>
    <n v="123445"/>
    <n v="49051"/>
    <n v="74394"/>
    <n v="55351"/>
    <n v="7127599"/>
    <n v="13613806"/>
    <n v="25596.799999999999"/>
    <n v="11638.4"/>
    <n v="0.44838592085544171"/>
    <n v="191.00128949454088"/>
    <n v="0.39735104702499091"/>
    <n v="8.1643201308042156E-3"/>
  </r>
  <r>
    <s v="UB2022017"/>
    <x v="3"/>
    <x v="2"/>
    <n v="134045"/>
    <n v="67418"/>
    <n v="66627"/>
    <n v="101099"/>
    <n v="18471"/>
    <n v="82628"/>
    <n v="71600"/>
    <n v="8790328"/>
    <n v="13651697"/>
    <n v="26809"/>
    <n v="13325.4"/>
    <n v="0.70821669848366453"/>
    <n v="155.30361324401093"/>
    <n v="0.18270210387837665"/>
    <n v="7.5795806481851417E-3"/>
  </r>
  <r>
    <s v="UB2022018"/>
    <x v="3"/>
    <x v="2"/>
    <n v="96850"/>
    <n v="64220"/>
    <n v="32630"/>
    <n v="146438"/>
    <n v="21397"/>
    <n v="125041"/>
    <n v="120284"/>
    <n v="15538832"/>
    <n v="10948140"/>
    <n v="19370"/>
    <n v="6526"/>
    <n v="0.82139881724688946"/>
    <n v="70.456646934595852"/>
    <n v="0.14611644518499298"/>
    <n v="2.0999004300966766E-3"/>
  </r>
  <r>
    <s v="UB2022019"/>
    <x v="3"/>
    <x v="2"/>
    <n v="73284"/>
    <n v="71330"/>
    <n v="1954"/>
    <n v="105323"/>
    <n v="40122"/>
    <n v="65201"/>
    <n v="58184"/>
    <n v="12028722"/>
    <n v="11221252"/>
    <n v="14656.8"/>
    <n v="390.8"/>
    <n v="0.55243394130436851"/>
    <n v="93.287150538519398"/>
    <n v="0.38094243422614243"/>
    <n v="1.6244452236904302E-4"/>
  </r>
  <r>
    <s v="UB2022020"/>
    <x v="3"/>
    <x v="2"/>
    <n v="112812"/>
    <n v="17999"/>
    <n v="94813"/>
    <n v="137249"/>
    <n v="57963"/>
    <n v="79286"/>
    <n v="75190"/>
    <n v="11814612"/>
    <n v="7963401"/>
    <n v="22562.400000000001"/>
    <n v="18962.599999999999"/>
    <n v="0.54783641410866379"/>
    <n v="67.402983695105689"/>
    <n v="0.42232001690358401"/>
    <n v="8.0250625242707929E-3"/>
  </r>
  <r>
    <s v="UB2023001"/>
    <x v="3"/>
    <x v="3"/>
    <n v="158899"/>
    <n v="36201"/>
    <n v="122698"/>
    <n v="162413"/>
    <n v="44309"/>
    <n v="118104"/>
    <n v="101026"/>
    <n v="11741286"/>
    <n v="4577969"/>
    <n v="31779.8"/>
    <n v="24539.599999999999"/>
    <n v="0.62203148762722194"/>
    <n v="38.990354208218761"/>
    <n v="0.27281683116499295"/>
    <n v="1.0450132975212426E-2"/>
  </r>
  <r>
    <s v="UB2023002"/>
    <x v="3"/>
    <x v="3"/>
    <n v="167666"/>
    <n v="12839"/>
    <n v="154827"/>
    <n v="243747"/>
    <n v="58619"/>
    <n v="185128"/>
    <n v="173075"/>
    <n v="16135784"/>
    <n v="14416757"/>
    <n v="33533.199999999997"/>
    <n v="30965.4"/>
    <n v="0.71006002125154366"/>
    <n v="89.3464922435749"/>
    <n v="0.24049116501946691"/>
    <n v="9.5952573485118542E-3"/>
  </r>
  <r>
    <s v="UB2023003"/>
    <x v="3"/>
    <x v="3"/>
    <n v="67069"/>
    <n v="17531"/>
    <n v="49538"/>
    <n v="106589"/>
    <n v="22736"/>
    <n v="83853"/>
    <n v="74143"/>
    <n v="8212883"/>
    <n v="6028631"/>
    <n v="13413.8"/>
    <n v="9907.6"/>
    <n v="0.69559710664327468"/>
    <n v="73.404564511633737"/>
    <n v="0.21330531293097788"/>
    <n v="6.0317430553923634E-3"/>
  </r>
  <r>
    <s v="UB2023004"/>
    <x v="3"/>
    <x v="3"/>
    <n v="112424"/>
    <n v="55603"/>
    <n v="56821"/>
    <n v="100073"/>
    <n v="95797"/>
    <n v="4276"/>
    <n v="845"/>
    <n v="15167147"/>
    <n v="9984297"/>
    <n v="22484.799999999999"/>
    <n v="11364.2"/>
    <n v="8.4438359997202044E-3"/>
    <n v="65.828444861779218"/>
    <n v="0.95727119202981825"/>
    <n v="3.7463209132211879E-3"/>
  </r>
  <r>
    <s v="UB2023005"/>
    <x v="3"/>
    <x v="3"/>
    <n v="142573"/>
    <n v="19557"/>
    <n v="123016"/>
    <n v="217987"/>
    <n v="15162"/>
    <n v="202825"/>
    <n v="198851"/>
    <n v="5019675"/>
    <n v="11462605"/>
    <n v="28514.6"/>
    <n v="24603.200000000001"/>
    <n v="0.91221494859785213"/>
    <n v="228.35352886392047"/>
    <n v="6.9554606467358143E-2"/>
    <n v="2.4506765876276849E-2"/>
  </r>
  <r>
    <s v="UB2023006"/>
    <x v="3"/>
    <x v="3"/>
    <n v="198087"/>
    <n v="60057"/>
    <n v="138030"/>
    <n v="190621"/>
    <n v="24833"/>
    <n v="165788"/>
    <n v="155892"/>
    <n v="19057676"/>
    <n v="13797637"/>
    <n v="39617.4"/>
    <n v="27606"/>
    <n v="0.81781125899035256"/>
    <n v="72.399368107632853"/>
    <n v="0.13027420903258297"/>
    <n v="7.2427508999523341E-3"/>
  </r>
  <r>
    <s v="UB2023007"/>
    <x v="3"/>
    <x v="3"/>
    <n v="91800"/>
    <n v="15347"/>
    <n v="76453"/>
    <n v="155516"/>
    <n v="17643"/>
    <n v="137873"/>
    <n v="127856"/>
    <n v="5805113"/>
    <n v="13851768"/>
    <n v="18360"/>
    <n v="15290.6"/>
    <n v="0.82214048715244736"/>
    <n v="238.61323629703674"/>
    <n v="0.1134481339540626"/>
    <n v="1.3169941739290864E-2"/>
  </r>
  <r>
    <s v="UB2023008"/>
    <x v="3"/>
    <x v="3"/>
    <n v="196964"/>
    <n v="57299"/>
    <n v="139665"/>
    <n v="176738"/>
    <n v="45682"/>
    <n v="131056"/>
    <n v="114767"/>
    <n v="13503967"/>
    <n v="9208714"/>
    <n v="39392.800000000003"/>
    <n v="27933"/>
    <n v="0.64936233294481094"/>
    <n v="68.192657757531549"/>
    <n v="0.25847299392320838"/>
    <n v="1.0342516387962145E-2"/>
  </r>
  <r>
    <s v="UB2023009"/>
    <x v="3"/>
    <x v="3"/>
    <n v="116707"/>
    <n v="75428"/>
    <n v="41279"/>
    <n v="111880"/>
    <n v="92465"/>
    <n v="19415"/>
    <n v="14876"/>
    <n v="15981239"/>
    <n v="13072959"/>
    <n v="23341.4"/>
    <n v="8255.7999999999993"/>
    <n v="0.13296388988201643"/>
    <n v="81.801911603975142"/>
    <n v="0.82646585627457991"/>
    <n v="2.5829661892923322E-3"/>
  </r>
  <r>
    <s v="UB2023010"/>
    <x v="3"/>
    <x v="3"/>
    <n v="199817"/>
    <n v="38228"/>
    <n v="161589"/>
    <n v="216110"/>
    <n v="41928"/>
    <n v="174182"/>
    <n v="162059"/>
    <n v="12946232"/>
    <n v="6498408"/>
    <n v="39963.4"/>
    <n v="32317.8"/>
    <n v="0.7498912590810235"/>
    <n v="50.195361862818466"/>
    <n v="0.1940123085465735"/>
    <n v="1.2481546754298857E-2"/>
  </r>
  <r>
    <s v="UB2023011"/>
    <x v="3"/>
    <x v="3"/>
    <n v="56304"/>
    <n v="17345"/>
    <n v="38959"/>
    <n v="88259"/>
    <n v="39259"/>
    <n v="49000"/>
    <n v="31648"/>
    <n v="17712262"/>
    <n v="3688725"/>
    <n v="11260.8"/>
    <n v="7791.8"/>
    <n v="0.35858099457279147"/>
    <n v="20.825826763402663"/>
    <n v="0.44481582614804155"/>
    <n v="2.1995496679080291E-3"/>
  </r>
  <r>
    <s v="UB2023012"/>
    <x v="3"/>
    <x v="3"/>
    <n v="69446"/>
    <n v="12336"/>
    <n v="57110"/>
    <n v="139142"/>
    <n v="90415"/>
    <n v="48727"/>
    <n v="46155"/>
    <n v="8284321"/>
    <n v="10018523"/>
    <n v="13889.2"/>
    <n v="11422"/>
    <n v="0.33171148898247832"/>
    <n v="120.93354422166887"/>
    <n v="0.64980379755932793"/>
    <n v="6.8937454258472123E-3"/>
  </r>
  <r>
    <s v="UB2023013"/>
    <x v="3"/>
    <x v="3"/>
    <n v="68474"/>
    <n v="56760"/>
    <n v="11714"/>
    <n v="87432"/>
    <n v="59629"/>
    <n v="27803"/>
    <n v="13339"/>
    <n v="7445840"/>
    <n v="8451973"/>
    <n v="13694.8"/>
    <n v="2342.8000000000002"/>
    <n v="0.15256427852502516"/>
    <n v="113.51268627851256"/>
    <n v="0.68200430048494831"/>
    <n v="1.5732274666122291E-3"/>
  </r>
  <r>
    <s v="UB2023014"/>
    <x v="3"/>
    <x v="3"/>
    <n v="119184"/>
    <n v="57945"/>
    <n v="61239"/>
    <n v="94379"/>
    <n v="98457"/>
    <n v="-4078"/>
    <n v="-20435"/>
    <n v="14960559"/>
    <n v="8354552"/>
    <n v="23836.799999999999"/>
    <n v="12247.8"/>
    <n v="-0.21652062429142077"/>
    <n v="55.843849150289103"/>
    <n v="1.0432087646616302"/>
    <n v="4.0933630889059694E-3"/>
  </r>
  <r>
    <s v="UB2023015"/>
    <x v="3"/>
    <x v="3"/>
    <n v="118673"/>
    <n v="75633"/>
    <n v="43040"/>
    <n v="139983"/>
    <n v="93258"/>
    <n v="46725"/>
    <n v="31801"/>
    <n v="18700774"/>
    <n v="13579029"/>
    <n v="23734.6"/>
    <n v="8608"/>
    <n v="0.22717758584971032"/>
    <n v="72.612122899298186"/>
    <n v="0.66620946829257843"/>
    <n v="2.301509017755094E-3"/>
  </r>
  <r>
    <s v="UB2023016"/>
    <x v="3"/>
    <x v="3"/>
    <n v="124071"/>
    <n v="67326"/>
    <n v="56745"/>
    <n v="166768"/>
    <n v="45651"/>
    <n v="121117"/>
    <n v="114451"/>
    <n v="14485961"/>
    <n v="9439522"/>
    <n v="24814.2"/>
    <n v="11349"/>
    <n v="0.68628873644823951"/>
    <n v="65.163243225630666"/>
    <n v="0.27373956634366303"/>
    <n v="3.9172409755900903E-3"/>
  </r>
  <r>
    <s v="UB2023017"/>
    <x v="3"/>
    <x v="3"/>
    <n v="117263"/>
    <n v="69634"/>
    <n v="47629"/>
    <n v="78429"/>
    <n v="52823"/>
    <n v="25606"/>
    <n v="13335"/>
    <n v="8471750"/>
    <n v="7475156"/>
    <n v="23452.6"/>
    <n v="9525.7999999999993"/>
    <n v="0.17002639329839728"/>
    <n v="88.236267595243007"/>
    <n v="0.67351362378711954"/>
    <n v="5.6220969693392747E-3"/>
  </r>
  <r>
    <s v="UB2023018"/>
    <x v="3"/>
    <x v="3"/>
    <n v="193891"/>
    <n v="73870"/>
    <n v="120021"/>
    <n v="149304"/>
    <n v="45573"/>
    <n v="103731"/>
    <n v="88560"/>
    <n v="14967246"/>
    <n v="10543159"/>
    <n v="38778.199999999997"/>
    <n v="24004.2"/>
    <n v="0.59315222633017195"/>
    <n v="70.441542819567474"/>
    <n v="0.30523629641536731"/>
    <n v="8.0189100920770601E-3"/>
  </r>
  <r>
    <s v="UB2023019"/>
    <x v="3"/>
    <x v="3"/>
    <n v="192055"/>
    <n v="28133"/>
    <n v="163922"/>
    <n v="198861"/>
    <n v="15781"/>
    <n v="183080"/>
    <n v="164798"/>
    <n v="10692796"/>
    <n v="11678376"/>
    <n v="38411"/>
    <n v="32784.400000000001"/>
    <n v="0.82870950060595094"/>
    <n v="109.21723373381479"/>
    <n v="7.9356937760546309E-2"/>
    <n v="1.5330134419472698E-2"/>
  </r>
  <r>
    <s v="UB2023020"/>
    <x v="3"/>
    <x v="3"/>
    <n v="56823"/>
    <n v="28489"/>
    <n v="28334"/>
    <n v="88295"/>
    <n v="44118"/>
    <n v="44177"/>
    <n v="40064"/>
    <n v="16616152"/>
    <n v="4726199"/>
    <n v="11364.6"/>
    <n v="5666.8"/>
    <n v="0.45375162806500935"/>
    <n v="28.443402539890101"/>
    <n v="0.49966589274590861"/>
    <n v="1.7052082816767684E-3"/>
  </r>
  <r>
    <s v="UB2024001"/>
    <x v="3"/>
    <x v="4"/>
    <n v="63565"/>
    <n v="30354"/>
    <n v="33211"/>
    <n v="96162"/>
    <n v="38648"/>
    <n v="57514"/>
    <n v="37553"/>
    <n v="12382003"/>
    <n v="9310114"/>
    <n v="12713"/>
    <n v="6642.2"/>
    <n v="0.39051808406647115"/>
    <n v="75.190694106599722"/>
    <n v="0.40190511844595578"/>
    <n v="2.6821993178325026E-3"/>
  </r>
  <r>
    <s v="UB2024002"/>
    <x v="3"/>
    <x v="4"/>
    <n v="71253"/>
    <n v="74166"/>
    <n v="-2913"/>
    <n v="65650"/>
    <n v="41390"/>
    <n v="24260"/>
    <n v="8771"/>
    <n v="14338770"/>
    <n v="4274634"/>
    <n v="14250.6"/>
    <n v="-582.6"/>
    <n v="0.1336024371667936"/>
    <n v="29.811720252155521"/>
    <n v="0.63046458492003044"/>
    <n v="-2.0315550078563223E-4"/>
  </r>
  <r>
    <s v="UB2024003"/>
    <x v="3"/>
    <x v="4"/>
    <n v="183623"/>
    <n v="71001"/>
    <n v="112622"/>
    <n v="181781"/>
    <n v="66707"/>
    <n v="115074"/>
    <n v="112599"/>
    <n v="19493859"/>
    <n v="10601748"/>
    <n v="36724.6"/>
    <n v="22524.400000000001"/>
    <n v="0.6194211716295982"/>
    <n v="54.385065573727601"/>
    <n v="0.36696354404475717"/>
    <n v="5.7773065866537762E-3"/>
  </r>
  <r>
    <s v="UB2024004"/>
    <x v="3"/>
    <x v="4"/>
    <n v="188311"/>
    <n v="16710"/>
    <n v="171601"/>
    <n v="212985"/>
    <n v="36038"/>
    <n v="176947"/>
    <n v="166869"/>
    <n v="9413359"/>
    <n v="13422509"/>
    <n v="37662.199999999997"/>
    <n v="34320.199999999997"/>
    <n v="0.78347770969786601"/>
    <n v="142.59000426946429"/>
    <n v="0.16920440406601403"/>
    <n v="1.822951828353726E-2"/>
  </r>
  <r>
    <s v="UB2024005"/>
    <x v="3"/>
    <x v="4"/>
    <n v="87991"/>
    <n v="16971"/>
    <n v="71020"/>
    <n v="120159"/>
    <n v="92067"/>
    <n v="28092"/>
    <n v="11371"/>
    <n v="6526534"/>
    <n v="3824143"/>
    <n v="17598.2"/>
    <n v="14204"/>
    <n v="9.4632944681630179E-2"/>
    <n v="58.593780404729365"/>
    <n v="0.76620977205203111"/>
    <n v="1.0881732938187406E-2"/>
  </r>
  <r>
    <s v="UB2024006"/>
    <x v="3"/>
    <x v="4"/>
    <n v="56530"/>
    <n v="21116"/>
    <n v="35414"/>
    <n v="121208"/>
    <n v="15282"/>
    <n v="105926"/>
    <n v="89989"/>
    <n v="8802986"/>
    <n v="3371616"/>
    <n v="11306"/>
    <n v="7082.8"/>
    <n v="0.74243449277275431"/>
    <n v="38.300822016529388"/>
    <n v="0.12608078674674938"/>
    <n v="4.0229531206797328E-3"/>
  </r>
  <r>
    <s v="UB2024007"/>
    <x v="3"/>
    <x v="4"/>
    <n v="175147"/>
    <n v="75031"/>
    <n v="100116"/>
    <n v="153496"/>
    <n v="32071"/>
    <n v="121425"/>
    <n v="117118"/>
    <n v="12379933"/>
    <n v="11661957"/>
    <n v="35029.4"/>
    <n v="20023.2"/>
    <n v="0.76300359618491687"/>
    <n v="94.200485576133573"/>
    <n v="0.20893704070464378"/>
    <n v="8.0869581442807488E-3"/>
  </r>
  <r>
    <s v="UB2024008"/>
    <x v="3"/>
    <x v="4"/>
    <n v="174661"/>
    <n v="15906"/>
    <n v="158755"/>
    <n v="181346"/>
    <n v="77987"/>
    <n v="103359"/>
    <n v="86210"/>
    <n v="19004086"/>
    <n v="12804815"/>
    <n v="34932.199999999997"/>
    <n v="31751"/>
    <n v="0.47538958675680743"/>
    <n v="67.379273067907604"/>
    <n v="0.43004532771607867"/>
    <n v="8.3537298242072778E-3"/>
  </r>
  <r>
    <s v="UB2024009"/>
    <x v="3"/>
    <x v="4"/>
    <n v="104400"/>
    <n v="35150"/>
    <n v="69250"/>
    <n v="121102"/>
    <n v="57870"/>
    <n v="63232"/>
    <n v="44179"/>
    <n v="12983372"/>
    <n v="14590817"/>
    <n v="20880"/>
    <n v="13850"/>
    <n v="0.3648081782299219"/>
    <n v="112.38079753087256"/>
    <n v="0.47786163729748476"/>
    <n v="5.333745347510647E-3"/>
  </r>
  <r>
    <s v="UB2024010"/>
    <x v="3"/>
    <x v="4"/>
    <n v="51283"/>
    <n v="43691"/>
    <n v="7592"/>
    <n v="28717"/>
    <n v="82065"/>
    <n v="-53348"/>
    <n v="-63786"/>
    <n v="8952255"/>
    <n v="6817242"/>
    <n v="10256.6"/>
    <n v="1518.4"/>
    <n v="-2.2211930215551763"/>
    <n v="76.151114998399848"/>
    <n v="2.8577149423686317"/>
    <n v="8.4805448459633918E-4"/>
  </r>
  <r>
    <s v="UB2024011"/>
    <x v="3"/>
    <x v="4"/>
    <n v="189076"/>
    <n v="19752"/>
    <n v="169324"/>
    <n v="244750"/>
    <n v="41819"/>
    <n v="202931"/>
    <n v="197067"/>
    <n v="16364243"/>
    <n v="14689625"/>
    <n v="37815.199999999997"/>
    <n v="33864.800000000003"/>
    <n v="0.80517671092951992"/>
    <n v="89.766602708111833"/>
    <n v="0.17086414708886619"/>
    <n v="1.0347194184295602E-2"/>
  </r>
  <r>
    <s v="UB2024012"/>
    <x v="3"/>
    <x v="4"/>
    <n v="82994"/>
    <n v="25036"/>
    <n v="57958"/>
    <n v="155233"/>
    <n v="64416"/>
    <n v="90817"/>
    <n v="79230"/>
    <n v="6027557"/>
    <n v="10435697"/>
    <n v="16598.8"/>
    <n v="11591.6"/>
    <n v="0.51039405281093586"/>
    <n v="173.1331118063255"/>
    <n v="0.41496331321304103"/>
    <n v="9.6155042581928304E-3"/>
  </r>
  <r>
    <s v="UB2024013"/>
    <x v="3"/>
    <x v="4"/>
    <n v="181717"/>
    <n v="40930"/>
    <n v="140787"/>
    <n v="242622"/>
    <n v="45090"/>
    <n v="197532"/>
    <n v="181857"/>
    <n v="14594731"/>
    <n v="9703560"/>
    <n v="36343.4"/>
    <n v="28157.4"/>
    <n v="0.74954868066374858"/>
    <n v="66.486734150838416"/>
    <n v="0.18584464722902291"/>
    <n v="9.6464265083063203E-3"/>
  </r>
  <r>
    <s v="UB2024014"/>
    <x v="3"/>
    <x v="4"/>
    <n v="93732"/>
    <n v="56305"/>
    <n v="37427"/>
    <n v="103464"/>
    <n v="24346"/>
    <n v="79118"/>
    <n v="76531"/>
    <n v="18644251"/>
    <n v="11578845"/>
    <n v="18746.400000000001"/>
    <n v="7485.4"/>
    <n v="0.73968723420706717"/>
    <n v="62.104103833401517"/>
    <n v="0.23530889971391014"/>
    <n v="2.007428456096198E-3"/>
  </r>
  <r>
    <s v="UB2024015"/>
    <x v="3"/>
    <x v="4"/>
    <n v="119615"/>
    <n v="46116"/>
    <n v="73499"/>
    <n v="179250"/>
    <n v="40556"/>
    <n v="138694"/>
    <n v="125909"/>
    <n v="6224744"/>
    <n v="8970226"/>
    <n v="23923"/>
    <n v="14699.8"/>
    <n v="0.70242119944211989"/>
    <n v="144.1059423487938"/>
    <n v="0.22625383542538355"/>
    <n v="1.1807553852817079E-2"/>
  </r>
  <r>
    <s v="UB2024016"/>
    <x v="3"/>
    <x v="4"/>
    <n v="194302"/>
    <n v="39009"/>
    <n v="155293"/>
    <n v="246262"/>
    <n v="48866"/>
    <n v="197396"/>
    <n v="188300"/>
    <n v="13210710"/>
    <n v="6489429"/>
    <n v="38860.400000000001"/>
    <n v="31058.6"/>
    <n v="0.76463278946812741"/>
    <n v="49.122484711268356"/>
    <n v="0.19843093940599849"/>
    <n v="1.1755083564774338E-2"/>
  </r>
  <r>
    <s v="UB2024017"/>
    <x v="3"/>
    <x v="4"/>
    <n v="187488"/>
    <n v="65915"/>
    <n v="121573"/>
    <n v="159631"/>
    <n v="91637"/>
    <n v="67994"/>
    <n v="58044"/>
    <n v="5294746"/>
    <n v="8710754"/>
    <n v="37497.599999999999"/>
    <n v="24314.6"/>
    <n v="0.36361358382770265"/>
    <n v="164.51693811185655"/>
    <n v="0.57405516472364393"/>
    <n v="2.2961063665754695E-2"/>
  </r>
  <r>
    <s v="UB2024018"/>
    <x v="3"/>
    <x v="4"/>
    <n v="179295"/>
    <n v="11089"/>
    <n v="168206"/>
    <n v="225552"/>
    <n v="89663"/>
    <n v="135889"/>
    <n v="123402"/>
    <n v="18893787"/>
    <n v="11512558"/>
    <n v="35859"/>
    <n v="33641.199999999997"/>
    <n v="0.54711108746541814"/>
    <n v="60.933035817541501"/>
    <n v="0.3975269560899482"/>
    <n v="8.9027149506872294E-3"/>
  </r>
  <r>
    <s v="UB2024019"/>
    <x v="3"/>
    <x v="4"/>
    <n v="117494"/>
    <n v="48547"/>
    <n v="68947"/>
    <n v="117742"/>
    <n v="70296"/>
    <n v="47446"/>
    <n v="41616"/>
    <n v="13299350"/>
    <n v="12693374"/>
    <n v="23498.799999999999"/>
    <n v="13789.4"/>
    <n v="0.35345076523245739"/>
    <n v="95.443566790858199"/>
    <n v="0.59703419340592145"/>
    <n v="5.1842383274370548E-3"/>
  </r>
  <r>
    <s v="UB2024020"/>
    <x v="3"/>
    <x v="4"/>
    <n v="137960"/>
    <n v="73278"/>
    <n v="64682"/>
    <n v="139759"/>
    <n v="86906"/>
    <n v="52853"/>
    <n v="41325"/>
    <n v="18594228"/>
    <n v="11831924"/>
    <n v="27592"/>
    <n v="12936.4"/>
    <n v="0.29568757647092497"/>
    <n v="63.632241144940252"/>
    <n v="0.62182757461057969"/>
    <n v="3.4786063718267842E-3"/>
  </r>
  <r>
    <s v="FI2020001"/>
    <x v="4"/>
    <x v="0"/>
    <n v="159869"/>
    <n v="18179"/>
    <n v="141690"/>
    <n v="210471"/>
    <n v="70267"/>
    <n v="140204"/>
    <n v="121361"/>
    <n v="14854352"/>
    <n v="4888806"/>
    <n v="31973.8"/>
    <n v="28338"/>
    <n v="0.57661625592124333"/>
    <n v="32.911607318851743"/>
    <n v="0.33385597065628991"/>
    <n v="9.5386187159157126E-3"/>
  </r>
  <r>
    <s v="FI2020002"/>
    <x v="4"/>
    <x v="0"/>
    <n v="148696"/>
    <n v="60939"/>
    <n v="87757"/>
    <n v="137273"/>
    <n v="71526"/>
    <n v="65747"/>
    <n v="53298"/>
    <n v="15011762"/>
    <n v="7058848"/>
    <n v="29739.200000000001"/>
    <n v="17551.400000000001"/>
    <n v="0.38826280477588454"/>
    <n v="47.022115058845195"/>
    <n v="0.52104929592855109"/>
    <n v="5.8458827151669467E-3"/>
  </r>
  <r>
    <s v="FI2020003"/>
    <x v="4"/>
    <x v="0"/>
    <n v="136661"/>
    <n v="32746"/>
    <n v="103915"/>
    <n v="191905"/>
    <n v="73810"/>
    <n v="118095"/>
    <n v="98334"/>
    <n v="12486327"/>
    <n v="5562605"/>
    <n v="27332.2"/>
    <n v="20783"/>
    <n v="0.51240978609207677"/>
    <n v="44.549570101760111"/>
    <n v="0.38461738881217267"/>
    <n v="8.3223032682068956E-3"/>
  </r>
  <r>
    <s v="FI2020004"/>
    <x v="4"/>
    <x v="0"/>
    <n v="183669"/>
    <n v="75677"/>
    <n v="107992"/>
    <n v="130651"/>
    <n v="89567"/>
    <n v="41084"/>
    <n v="24047"/>
    <n v="11417954"/>
    <n v="14187858"/>
    <n v="36733.800000000003"/>
    <n v="21598.400000000001"/>
    <n v="0.18405523111189351"/>
    <n v="124.25919740086533"/>
    <n v="0.68554393001201674"/>
    <n v="9.4580867990885237E-3"/>
  </r>
  <r>
    <s v="FI2020005"/>
    <x v="4"/>
    <x v="0"/>
    <n v="62109"/>
    <n v="32010"/>
    <n v="30099"/>
    <n v="58886"/>
    <n v="23472"/>
    <n v="35414"/>
    <n v="16607"/>
    <n v="11970199"/>
    <n v="3463001"/>
    <n v="12421.8"/>
    <n v="6019.8"/>
    <n v="0.28201949529599563"/>
    <n v="28.930187376166426"/>
    <n v="0.39860068607139221"/>
    <n v="2.5144945376430251E-3"/>
  </r>
  <r>
    <s v="FI2020006"/>
    <x v="4"/>
    <x v="0"/>
    <n v="84518"/>
    <n v="63909"/>
    <n v="20609"/>
    <n v="58960"/>
    <n v="84624"/>
    <n v="-25664"/>
    <n v="-42946"/>
    <n v="12818114"/>
    <n v="3239017"/>
    <n v="16903.599999999999"/>
    <n v="4121.8"/>
    <n v="-0.72839213025780192"/>
    <n v="25.269060643398866"/>
    <n v="1.4352781546811397"/>
    <n v="1.6078028327724343E-3"/>
  </r>
  <r>
    <s v="FI2020007"/>
    <x v="4"/>
    <x v="0"/>
    <n v="55075"/>
    <n v="58454"/>
    <n v="-3379"/>
    <n v="44986"/>
    <n v="87766"/>
    <n v="-42780"/>
    <n v="-60212"/>
    <n v="5273146"/>
    <n v="8453174"/>
    <n v="11015"/>
    <n v="-675.8"/>
    <n v="-1.338460854488063"/>
    <n v="160.30608672697474"/>
    <n v="1.9509625216734094"/>
    <n v="-6.4079393970885691E-4"/>
  </r>
  <r>
    <s v="FI2020008"/>
    <x v="4"/>
    <x v="0"/>
    <n v="144840"/>
    <n v="62142"/>
    <n v="82698"/>
    <n v="159005"/>
    <n v="19493"/>
    <n v="139512"/>
    <n v="120195"/>
    <n v="18141428"/>
    <n v="10026492"/>
    <n v="28968"/>
    <n v="16539.599999999999"/>
    <n v="0.75591962516901989"/>
    <n v="55.268482723631237"/>
    <n v="0.1225936291311594"/>
    <n v="4.5585165622022703E-3"/>
  </r>
  <r>
    <s v="FI2020009"/>
    <x v="4"/>
    <x v="0"/>
    <n v="93472"/>
    <n v="59437"/>
    <n v="34035"/>
    <n v="103451"/>
    <n v="74711"/>
    <n v="28740"/>
    <n v="19924"/>
    <n v="5077175"/>
    <n v="14074355"/>
    <n v="18694.400000000001"/>
    <n v="6807"/>
    <n v="0.19259359503533074"/>
    <n v="277.20838852314523"/>
    <n v="0.72218731573401895"/>
    <n v="6.7035309990299725E-3"/>
  </r>
  <r>
    <s v="FI2020010"/>
    <x v="4"/>
    <x v="0"/>
    <n v="96733"/>
    <n v="21240"/>
    <n v="75493"/>
    <n v="193727"/>
    <n v="86363"/>
    <n v="107364"/>
    <n v="97105"/>
    <n v="14618395"/>
    <n v="6012359"/>
    <n v="19346.599999999999"/>
    <n v="15098.6"/>
    <n v="0.50124659959633922"/>
    <n v="41.12872172355447"/>
    <n v="0.44579743659892529"/>
    <n v="5.1642468273705834E-3"/>
  </r>
  <r>
    <s v="FI2020011"/>
    <x v="4"/>
    <x v="0"/>
    <n v="64849"/>
    <n v="64869"/>
    <n v="-20"/>
    <n v="83075"/>
    <n v="85910"/>
    <n v="-2835"/>
    <n v="-7359"/>
    <n v="14511997"/>
    <n v="9912880"/>
    <n v="12969.8"/>
    <n v="-4"/>
    <n v="-8.8582606078844411E-2"/>
    <n v="68.308172886198918"/>
    <n v="1.0341257899488414"/>
    <n v="-1.3781700754210465E-6"/>
  </r>
  <r>
    <s v="FI2020012"/>
    <x v="4"/>
    <x v="0"/>
    <n v="101631"/>
    <n v="19885"/>
    <n v="81746"/>
    <n v="161405"/>
    <n v="69306"/>
    <n v="92099"/>
    <n v="89321"/>
    <n v="18958719"/>
    <n v="3422381"/>
    <n v="20326.2"/>
    <n v="16349.2"/>
    <n v="0.55339673492147079"/>
    <n v="18.051752336220606"/>
    <n v="0.42939190235742386"/>
    <n v="4.3117892089650153E-3"/>
  </r>
  <r>
    <s v="FI2020013"/>
    <x v="4"/>
    <x v="0"/>
    <n v="145998"/>
    <n v="59812"/>
    <n v="86186"/>
    <n v="156686"/>
    <n v="94151"/>
    <n v="62535"/>
    <n v="48403"/>
    <n v="10679042"/>
    <n v="3401067"/>
    <n v="29199.599999999999"/>
    <n v="17237.2"/>
    <n v="0.30891719745222929"/>
    <n v="31.848053411532607"/>
    <n v="0.60088967744406008"/>
    <n v="8.0705741207872383E-3"/>
  </r>
  <r>
    <s v="FI2020014"/>
    <x v="4"/>
    <x v="0"/>
    <n v="66288"/>
    <n v="77580"/>
    <n v="-11292"/>
    <n v="16076"/>
    <n v="61403"/>
    <n v="-45327"/>
    <n v="-56495"/>
    <n v="14392609"/>
    <n v="3312023"/>
    <n v="13257.6"/>
    <n v="-2258.4"/>
    <n v="-3.5142448370241355"/>
    <n v="23.011970935915787"/>
    <n v="3.8195446628514556"/>
    <n v="-7.8456935778634714E-4"/>
  </r>
  <r>
    <s v="FI2020015"/>
    <x v="4"/>
    <x v="0"/>
    <n v="109871"/>
    <n v="42174"/>
    <n v="67697"/>
    <n v="187448"/>
    <n v="21581"/>
    <n v="165867"/>
    <n v="152016"/>
    <n v="6899054"/>
    <n v="6457550"/>
    <n v="21974.2"/>
    <n v="13539.4"/>
    <n v="0.8109769109299646"/>
    <n v="93.600513925532397"/>
    <n v="0.11513059621868466"/>
    <n v="9.8125047289092104E-3"/>
  </r>
  <r>
    <s v="FI2020016"/>
    <x v="4"/>
    <x v="0"/>
    <n v="76649"/>
    <n v="24567"/>
    <n v="52082"/>
    <n v="152486"/>
    <n v="76944"/>
    <n v="75542"/>
    <n v="61076"/>
    <n v="18136003"/>
    <n v="5770742"/>
    <n v="15329.8"/>
    <n v="10416.4"/>
    <n v="0.40053513109400207"/>
    <n v="31.819260285742125"/>
    <n v="0.50459714334430705"/>
    <n v="2.8717463269056585E-3"/>
  </r>
  <r>
    <s v="FI2020017"/>
    <x v="4"/>
    <x v="0"/>
    <n v="198934"/>
    <n v="53355"/>
    <n v="145579"/>
    <n v="196838"/>
    <n v="45795"/>
    <n v="151043"/>
    <n v="132743"/>
    <n v="13659522"/>
    <n v="7109803"/>
    <n v="39786.800000000003"/>
    <n v="29115.8"/>
    <n v="0.67437689876954654"/>
    <n v="52.0501595883077"/>
    <n v="0.23265324784848454"/>
    <n v="1.0657693585470999E-2"/>
  </r>
  <r>
    <s v="FI2020018"/>
    <x v="4"/>
    <x v="0"/>
    <n v="181265"/>
    <n v="27569"/>
    <n v="153696"/>
    <n v="184886"/>
    <n v="77824"/>
    <n v="107062"/>
    <n v="95078"/>
    <n v="19319175"/>
    <n v="8547094"/>
    <n v="36253"/>
    <n v="30739.200000000001"/>
    <n v="0.51425202557251493"/>
    <n v="44.241506171976809"/>
    <n v="0.4209296539489199"/>
    <n v="7.955619222870542E-3"/>
  </r>
  <r>
    <s v="FI2020019"/>
    <x v="4"/>
    <x v="0"/>
    <n v="90197"/>
    <n v="12261"/>
    <n v="77936"/>
    <n v="191841"/>
    <n v="41512"/>
    <n v="150329"/>
    <n v="141613"/>
    <n v="15776837"/>
    <n v="14510489"/>
    <n v="18039.400000000001"/>
    <n v="15587.2"/>
    <n v="0.73817901282833176"/>
    <n v="91.973372102405577"/>
    <n v="0.21638752925599847"/>
    <n v="4.939900184048298E-3"/>
  </r>
  <r>
    <s v="FI2020020"/>
    <x v="4"/>
    <x v="0"/>
    <n v="185450"/>
    <n v="50583"/>
    <n v="134867"/>
    <n v="240238"/>
    <n v="44033"/>
    <n v="196205"/>
    <n v="181477"/>
    <n v="18838428"/>
    <n v="4353324"/>
    <n v="37090"/>
    <n v="26973.4"/>
    <n v="0.7554050566521533"/>
    <n v="23.108743468404054"/>
    <n v="0.18328907167059333"/>
    <n v="7.1591430028025696E-3"/>
  </r>
  <r>
    <s v="FI2021001"/>
    <x v="4"/>
    <x v="1"/>
    <n v="145074"/>
    <n v="15410"/>
    <n v="129664"/>
    <n v="233039"/>
    <n v="71044"/>
    <n v="161995"/>
    <n v="154187"/>
    <n v="9070028"/>
    <n v="10951036"/>
    <n v="29014.799999999999"/>
    <n v="25932.799999999999"/>
    <n v="0.66163603517007885"/>
    <n v="120.73872318806514"/>
    <n v="0.30485884336956476"/>
    <n v="1.4295876484615042E-2"/>
  </r>
  <r>
    <s v="FI2021002"/>
    <x v="4"/>
    <x v="1"/>
    <n v="104245"/>
    <n v="53056"/>
    <n v="51189"/>
    <n v="88898"/>
    <n v="73557"/>
    <n v="15341"/>
    <n v="-4202"/>
    <n v="11722090"/>
    <n v="3749971"/>
    <n v="20849"/>
    <n v="10237.799999999999"/>
    <n v="-4.7267655065355803E-2"/>
    <n v="31.990634775880412"/>
    <n v="0.82743143827757659"/>
    <n v="4.3668833800115849E-3"/>
  </r>
  <r>
    <s v="FI2021003"/>
    <x v="4"/>
    <x v="1"/>
    <n v="146038"/>
    <n v="26724"/>
    <n v="119314"/>
    <n v="143142"/>
    <n v="32087"/>
    <n v="111055"/>
    <n v="96450"/>
    <n v="14730665"/>
    <n v="5233706"/>
    <n v="29207.599999999999"/>
    <n v="23862.799999999999"/>
    <n v="0.67380642997862261"/>
    <n v="35.529326069121794"/>
    <n v="0.22416202093026505"/>
    <n v="8.0997022198251063E-3"/>
  </r>
  <r>
    <s v="FI2021004"/>
    <x v="4"/>
    <x v="1"/>
    <n v="115333"/>
    <n v="60952"/>
    <n v="54381"/>
    <n v="79844"/>
    <n v="85448"/>
    <n v="-5604"/>
    <n v="-12252"/>
    <n v="12732752"/>
    <n v="5392919"/>
    <n v="23066.6"/>
    <n v="10876.2"/>
    <n v="-0.15344922599068184"/>
    <n v="42.354700696283096"/>
    <n v="1.0701868643855519"/>
    <n v="4.2709541503674932E-3"/>
  </r>
  <r>
    <s v="FI2021005"/>
    <x v="4"/>
    <x v="1"/>
    <n v="85634"/>
    <n v="54602"/>
    <n v="31032"/>
    <n v="100366"/>
    <n v="83648"/>
    <n v="16718"/>
    <n v="10226"/>
    <n v="18056778"/>
    <n v="11095213"/>
    <n v="17126.8"/>
    <n v="6206.4"/>
    <n v="0.10188709323874619"/>
    <n v="61.446250266797321"/>
    <n v="0.83342964749018589"/>
    <n v="1.7185790288832259E-3"/>
  </r>
  <r>
    <s v="FI2021006"/>
    <x v="4"/>
    <x v="1"/>
    <n v="131554"/>
    <n v="31386"/>
    <n v="100168"/>
    <n v="203444"/>
    <n v="74518"/>
    <n v="128926"/>
    <n v="115495"/>
    <n v="19163986"/>
    <n v="6714379"/>
    <n v="26310.799999999999"/>
    <n v="20033.599999999999"/>
    <n v="0.56769921944122215"/>
    <n v="35.036442836057176"/>
    <n v="0.36628261339729851"/>
    <n v="5.2268875587782211E-3"/>
  </r>
  <r>
    <s v="FI2021007"/>
    <x v="4"/>
    <x v="1"/>
    <n v="128279"/>
    <n v="70348"/>
    <n v="57931"/>
    <n v="133215"/>
    <n v="87124"/>
    <n v="46091"/>
    <n v="40780"/>
    <n v="19937388"/>
    <n v="11312934"/>
    <n v="25655.8"/>
    <n v="11586.2"/>
    <n v="0.30612168299365689"/>
    <n v="56.742307467758565"/>
    <n v="0.65401043426040606"/>
    <n v="2.9056464166720333E-3"/>
  </r>
  <r>
    <s v="FI2021008"/>
    <x v="4"/>
    <x v="1"/>
    <n v="184393"/>
    <n v="47383"/>
    <n v="137010"/>
    <n v="235692"/>
    <n v="94190"/>
    <n v="141502"/>
    <n v="136450"/>
    <n v="11281646"/>
    <n v="6998422"/>
    <n v="36878.6"/>
    <n v="27402"/>
    <n v="0.57893352341191051"/>
    <n v="62.033696146821129"/>
    <n v="0.39963172275681824"/>
    <n v="1.2144504445539241E-2"/>
  </r>
  <r>
    <s v="FI2021009"/>
    <x v="4"/>
    <x v="1"/>
    <n v="184832"/>
    <n v="32190"/>
    <n v="152642"/>
    <n v="240053"/>
    <n v="38377"/>
    <n v="201676"/>
    <n v="185707"/>
    <n v="10181377"/>
    <n v="8281091"/>
    <n v="36966.400000000001"/>
    <n v="30528.400000000001"/>
    <n v="0.77360832816086444"/>
    <n v="81.33566805354522"/>
    <n v="0.15986886229291031"/>
    <n v="1.4992274620613696E-2"/>
  </r>
  <r>
    <s v="FI2021010"/>
    <x v="4"/>
    <x v="1"/>
    <n v="53744"/>
    <n v="34995"/>
    <n v="18749"/>
    <n v="55726"/>
    <n v="49542"/>
    <n v="6184"/>
    <n v="-6467"/>
    <n v="16633575"/>
    <n v="8059667"/>
    <n v="10748.8"/>
    <n v="3749.8"/>
    <n v="-0.11604995872662671"/>
    <n v="48.45420782964576"/>
    <n v="0.88902846068262575"/>
    <n v="1.1271780119427122E-3"/>
  </r>
  <r>
    <s v="FI2021011"/>
    <x v="4"/>
    <x v="1"/>
    <n v="152112"/>
    <n v="26715"/>
    <n v="125397"/>
    <n v="189806"/>
    <n v="39306"/>
    <n v="150500"/>
    <n v="134124"/>
    <n v="6372070"/>
    <n v="13819329"/>
    <n v="30422.400000000001"/>
    <n v="25079.4"/>
    <n v="0.70663730335184349"/>
    <n v="216.87346498076764"/>
    <n v="0.20708512902647966"/>
    <n v="1.9679162344418688E-2"/>
  </r>
  <r>
    <s v="FI2021012"/>
    <x v="4"/>
    <x v="1"/>
    <n v="136120"/>
    <n v="61649"/>
    <n v="74471"/>
    <n v="129081"/>
    <n v="25058"/>
    <n v="104023"/>
    <n v="92922"/>
    <n v="19102737"/>
    <n v="12245234"/>
    <n v="27224"/>
    <n v="14894.2"/>
    <n v="0.71987356775977873"/>
    <n v="64.101987060807048"/>
    <n v="0.19412616883972081"/>
    <n v="3.8984465943283416E-3"/>
  </r>
  <r>
    <s v="FI2021013"/>
    <x v="4"/>
    <x v="1"/>
    <n v="126917"/>
    <n v="74200"/>
    <n v="52717"/>
    <n v="119336"/>
    <n v="32154"/>
    <n v="87182"/>
    <n v="73405"/>
    <n v="16372124"/>
    <n v="3161445"/>
    <n v="25383.4"/>
    <n v="10543.4"/>
    <n v="0.61511195280552389"/>
    <n v="19.309925822697167"/>
    <n v="0.26944090634846146"/>
    <n v="3.2199243054841266E-3"/>
  </r>
  <r>
    <s v="FI2021014"/>
    <x v="4"/>
    <x v="1"/>
    <n v="187103"/>
    <n v="32785"/>
    <n v="154318"/>
    <n v="253246"/>
    <n v="43669"/>
    <n v="209577"/>
    <n v="205295"/>
    <n v="11981440"/>
    <n v="13140982"/>
    <n v="37420.6"/>
    <n v="30863.599999999999"/>
    <n v="0.81065446245942685"/>
    <n v="109.677818359062"/>
    <n v="0.17243707699233157"/>
    <n v="1.2879754019550238E-2"/>
  </r>
  <r>
    <s v="FI2021015"/>
    <x v="4"/>
    <x v="1"/>
    <n v="117534"/>
    <n v="41705"/>
    <n v="75829"/>
    <n v="134073"/>
    <n v="89964"/>
    <n v="44109"/>
    <n v="37440"/>
    <n v="5208944"/>
    <n v="8186686"/>
    <n v="23506.799999999999"/>
    <n v="15165.8"/>
    <n v="0.2792508558770222"/>
    <n v="157.16594380742046"/>
    <n v="0.67100758541988315"/>
    <n v="1.4557461166793116E-2"/>
  </r>
  <r>
    <s v="FI2021016"/>
    <x v="4"/>
    <x v="1"/>
    <n v="169006"/>
    <n v="60583"/>
    <n v="108423"/>
    <n v="166815"/>
    <n v="22461"/>
    <n v="144354"/>
    <n v="140535"/>
    <n v="7894100"/>
    <n v="7666805"/>
    <n v="33801.199999999997"/>
    <n v="21684.6"/>
    <n v="0.84246021041273267"/>
    <n v="97.120697736284058"/>
    <n v="0.13464616491322723"/>
    <n v="1.373468793149314E-2"/>
  </r>
  <r>
    <s v="FI2021017"/>
    <x v="4"/>
    <x v="1"/>
    <n v="198586"/>
    <n v="46268"/>
    <n v="152318"/>
    <n v="262804"/>
    <n v="51788"/>
    <n v="211016"/>
    <n v="198803"/>
    <n v="6897501"/>
    <n v="7754619"/>
    <n v="39717.199999999997"/>
    <n v="30463.599999999999"/>
    <n v="0.75646869910655845"/>
    <n v="112.42650055433121"/>
    <n v="0.19705940548850093"/>
    <n v="2.2083070375778127E-2"/>
  </r>
  <r>
    <s v="FI2021018"/>
    <x v="4"/>
    <x v="1"/>
    <n v="143547"/>
    <n v="52849"/>
    <n v="90698"/>
    <n v="128556"/>
    <n v="99162"/>
    <n v="29394"/>
    <n v="13927"/>
    <n v="9902059"/>
    <n v="14049806"/>
    <n v="28709.4"/>
    <n v="18139.599999999999"/>
    <n v="0.10833411120445564"/>
    <n v="141.88772254336195"/>
    <n v="0.77135256230747695"/>
    <n v="9.159509148551832E-3"/>
  </r>
  <r>
    <s v="FI2021019"/>
    <x v="4"/>
    <x v="1"/>
    <n v="104312"/>
    <n v="78670"/>
    <n v="25642"/>
    <n v="127921"/>
    <n v="30434"/>
    <n v="97487"/>
    <n v="80480"/>
    <n v="5337913"/>
    <n v="3328821"/>
    <n v="20862.400000000001"/>
    <n v="5128.3999999999996"/>
    <n v="0.62913829629224283"/>
    <n v="62.361844413724988"/>
    <n v="0.23791246159739213"/>
    <n v="4.8037500798533061E-3"/>
  </r>
  <r>
    <s v="FI2021020"/>
    <x v="4"/>
    <x v="1"/>
    <n v="133555"/>
    <n v="55734"/>
    <n v="77821"/>
    <n v="186324"/>
    <n v="55603"/>
    <n v="130721"/>
    <n v="117549"/>
    <n v="10193734"/>
    <n v="11457411"/>
    <n v="26711"/>
    <n v="15564.2"/>
    <n v="0.63088491015650161"/>
    <n v="112.39660560104865"/>
    <n v="0.29842103003370474"/>
    <n v="7.6341995975174552E-3"/>
  </r>
  <r>
    <s v="FI2022001"/>
    <x v="4"/>
    <x v="2"/>
    <n v="141703"/>
    <n v="31312"/>
    <n v="110391"/>
    <n v="223767"/>
    <n v="99526"/>
    <n v="124241"/>
    <n v="110830"/>
    <n v="13634012"/>
    <n v="9933705"/>
    <n v="28340.6"/>
    <n v="22078.2"/>
    <n v="0.49529197781621059"/>
    <n v="72.859734904150002"/>
    <n v="0.44477514557553172"/>
    <n v="8.096736309165636E-3"/>
  </r>
  <r>
    <s v="FI2022002"/>
    <x v="4"/>
    <x v="2"/>
    <n v="90379"/>
    <n v="27297"/>
    <n v="63082"/>
    <n v="85093"/>
    <n v="59014"/>
    <n v="26079"/>
    <n v="10289"/>
    <n v="16415002"/>
    <n v="12615754"/>
    <n v="18075.8"/>
    <n v="12616.4"/>
    <n v="0.12091476384661488"/>
    <n v="76.855025664937472"/>
    <n v="0.69352355657927212"/>
    <n v="3.8429480544687109E-3"/>
  </r>
  <r>
    <s v="FI2022003"/>
    <x v="4"/>
    <x v="2"/>
    <n v="61120"/>
    <n v="18767"/>
    <n v="42353"/>
    <n v="85205"/>
    <n v="94239"/>
    <n v="-9034"/>
    <n v="-11963"/>
    <n v="13072879"/>
    <n v="12004471"/>
    <n v="12224"/>
    <n v="8470.6"/>
    <n v="-0.14040255853529723"/>
    <n v="91.827293743023247"/>
    <n v="1.1060266416290123"/>
    <n v="3.2397607290635829E-3"/>
  </r>
  <r>
    <s v="FI2022004"/>
    <x v="4"/>
    <x v="2"/>
    <n v="145040"/>
    <n v="27438"/>
    <n v="117602"/>
    <n v="186117"/>
    <n v="20744"/>
    <n v="165373"/>
    <n v="153724"/>
    <n v="10217092"/>
    <n v="11264605"/>
    <n v="29008"/>
    <n v="23520.400000000001"/>
    <n v="0.82595356684236265"/>
    <n v="110.25255522804336"/>
    <n v="0.11145677181557838"/>
    <n v="1.1510320157633895E-2"/>
  </r>
  <r>
    <s v="FI2022005"/>
    <x v="4"/>
    <x v="2"/>
    <n v="92359"/>
    <n v="29799"/>
    <n v="62560"/>
    <n v="181306"/>
    <n v="85188"/>
    <n v="96118"/>
    <n v="84748"/>
    <n v="12871917"/>
    <n v="8446079"/>
    <n v="18471.8"/>
    <n v="12512"/>
    <n v="0.46743075242959414"/>
    <n v="65.616325835537936"/>
    <n v="0.46985758882772771"/>
    <n v="4.8601929300818207E-3"/>
  </r>
  <r>
    <s v="FI2022006"/>
    <x v="4"/>
    <x v="2"/>
    <n v="164650"/>
    <n v="36417"/>
    <n v="128233"/>
    <n v="166926"/>
    <n v="94674"/>
    <n v="72252"/>
    <n v="52958"/>
    <n v="19930164"/>
    <n v="3782877"/>
    <n v="32930"/>
    <n v="25646.6"/>
    <n v="0.31725435222793336"/>
    <n v="18.980661674434788"/>
    <n v="0.56716149671111749"/>
    <n v="6.4341166485132788E-3"/>
  </r>
  <r>
    <s v="FI2022007"/>
    <x v="4"/>
    <x v="2"/>
    <n v="183241"/>
    <n v="32052"/>
    <n v="151189"/>
    <n v="243038"/>
    <n v="88851"/>
    <n v="154187"/>
    <n v="144151"/>
    <n v="10798946"/>
    <n v="10236694"/>
    <n v="36648.199999999997"/>
    <n v="30237.8"/>
    <n v="0.59312124029987079"/>
    <n v="94.79345484272261"/>
    <n v="0.36558480566824941"/>
    <n v="1.4000347811721625E-2"/>
  </r>
  <r>
    <s v="FI2022008"/>
    <x v="4"/>
    <x v="2"/>
    <n v="187416"/>
    <n v="28800"/>
    <n v="158616"/>
    <n v="203988"/>
    <n v="76516"/>
    <n v="127472"/>
    <n v="110499"/>
    <n v="16867635"/>
    <n v="14593836"/>
    <n v="37483.199999999997"/>
    <n v="31723.200000000001"/>
    <n v="0.54169362903700213"/>
    <n v="86.519752176283163"/>
    <n v="0.3751004961076142"/>
    <n v="9.4035708029015334E-3"/>
  </r>
  <r>
    <s v="FI2022009"/>
    <x v="4"/>
    <x v="2"/>
    <n v="160659"/>
    <n v="37716"/>
    <n v="122943"/>
    <n v="146179"/>
    <n v="30848"/>
    <n v="115331"/>
    <n v="110979"/>
    <n v="9327308"/>
    <n v="14348641"/>
    <n v="32131.8"/>
    <n v="24588.6"/>
    <n v="0.75919933779817894"/>
    <n v="153.83475060542656"/>
    <n v="0.21102894396595953"/>
    <n v="1.3180973545636104E-2"/>
  </r>
  <r>
    <s v="FI2022010"/>
    <x v="4"/>
    <x v="2"/>
    <n v="58556"/>
    <n v="15498"/>
    <n v="43058"/>
    <n v="139176"/>
    <n v="65098"/>
    <n v="74078"/>
    <n v="58213"/>
    <n v="16150689"/>
    <n v="9538655"/>
    <n v="11711.2"/>
    <n v="8611.6"/>
    <n v="0.41826895441742828"/>
    <n v="59.060359592089227"/>
    <n v="0.46773869057883544"/>
    <n v="2.6660162919365238E-3"/>
  </r>
  <r>
    <s v="FI2022011"/>
    <x v="4"/>
    <x v="2"/>
    <n v="176060"/>
    <n v="66882"/>
    <n v="109178"/>
    <n v="199571"/>
    <n v="15340"/>
    <n v="184231"/>
    <n v="171050"/>
    <n v="11898046"/>
    <n v="6077099"/>
    <n v="35212"/>
    <n v="21835.599999999999"/>
    <n v="0.8570884547354074"/>
    <n v="51.076445661749837"/>
    <n v="7.6864875157212215E-2"/>
    <n v="9.1761285844751319E-3"/>
  </r>
  <r>
    <s v="FI2022012"/>
    <x v="4"/>
    <x v="2"/>
    <n v="50138"/>
    <n v="10358"/>
    <n v="39780"/>
    <n v="135030"/>
    <n v="45654"/>
    <n v="89376"/>
    <n v="71380"/>
    <n v="16327970"/>
    <n v="11950668"/>
    <n v="10027.6"/>
    <n v="7956"/>
    <n v="0.52862326890320666"/>
    <n v="73.191388764188076"/>
    <n v="0.33810264385692068"/>
    <n v="2.4363102088012165E-3"/>
  </r>
  <r>
    <s v="FI2022013"/>
    <x v="4"/>
    <x v="2"/>
    <n v="108478"/>
    <n v="74353"/>
    <n v="34125"/>
    <n v="80887"/>
    <n v="28283"/>
    <n v="52604"/>
    <n v="43952"/>
    <n v="12133456"/>
    <n v="3871522"/>
    <n v="21695.599999999999"/>
    <n v="6825"/>
    <n v="0.54337532607217476"/>
    <n v="31.907825767036201"/>
    <n v="0.34966063767972605"/>
    <n v="2.8124715662215284E-3"/>
  </r>
  <r>
    <s v="FI2022014"/>
    <x v="4"/>
    <x v="2"/>
    <n v="70219"/>
    <n v="67169"/>
    <n v="3050"/>
    <n v="98015"/>
    <n v="61840"/>
    <n v="36175"/>
    <n v="22248"/>
    <n v="19916345"/>
    <n v="5181906"/>
    <n v="14043.8"/>
    <n v="610"/>
    <n v="0.22698566545936846"/>
    <n v="26.018358288129672"/>
    <n v="0.63092383818803244"/>
    <n v="1.5314054862978121E-4"/>
  </r>
  <r>
    <s v="FI2022015"/>
    <x v="4"/>
    <x v="2"/>
    <n v="127988"/>
    <n v="68342"/>
    <n v="59646"/>
    <n v="98597"/>
    <n v="16307"/>
    <n v="82290"/>
    <n v="65438"/>
    <n v="17411536"/>
    <n v="3239779"/>
    <n v="25597.599999999999"/>
    <n v="11929.2"/>
    <n v="0.66369159305049852"/>
    <n v="18.607083257904414"/>
    <n v="0.16539042770063997"/>
    <n v="3.4256598613700709E-3"/>
  </r>
  <r>
    <s v="FI2022016"/>
    <x v="4"/>
    <x v="2"/>
    <n v="142021"/>
    <n v="48975"/>
    <n v="93046"/>
    <n v="114186"/>
    <n v="39842"/>
    <n v="74344"/>
    <n v="70636"/>
    <n v="11164014"/>
    <n v="14947147"/>
    <n v="28404.2"/>
    <n v="18609.2"/>
    <n v="0.618604732629219"/>
    <n v="133.88685288284304"/>
    <n v="0.34892193438775332"/>
    <n v="8.3344574809741372E-3"/>
  </r>
  <r>
    <s v="FI2022017"/>
    <x v="4"/>
    <x v="2"/>
    <n v="126021"/>
    <n v="38308"/>
    <n v="87713"/>
    <n v="152502"/>
    <n v="70690"/>
    <n v="81812"/>
    <n v="62953"/>
    <n v="18114884"/>
    <n v="8333968"/>
    <n v="25204.2"/>
    <n v="17542.599999999999"/>
    <n v="0.41280114359155945"/>
    <n v="46.006190268731501"/>
    <n v="0.46353490446026935"/>
    <n v="4.8420403906533436E-3"/>
  </r>
  <r>
    <s v="FI2022018"/>
    <x v="4"/>
    <x v="2"/>
    <n v="182279"/>
    <n v="56099"/>
    <n v="126180"/>
    <n v="213676"/>
    <n v="81093"/>
    <n v="132583"/>
    <n v="114700"/>
    <n v="8683909"/>
    <n v="4539600"/>
    <n v="36455.800000000003"/>
    <n v="25236"/>
    <n v="0.53679402459798953"/>
    <n v="52.275996904159172"/>
    <n v="0.3795138433890563"/>
    <n v="1.4530322692234568E-2"/>
  </r>
  <r>
    <s v="FI2022019"/>
    <x v="4"/>
    <x v="2"/>
    <n v="116418"/>
    <n v="70011"/>
    <n v="46407"/>
    <n v="105042"/>
    <n v="71115"/>
    <n v="33927"/>
    <n v="19058"/>
    <n v="17000254"/>
    <n v="10156406"/>
    <n v="23283.599999999999"/>
    <n v="9281.4"/>
    <n v="0.18143218902915023"/>
    <n v="59.742672080075977"/>
    <n v="0.67701490832238531"/>
    <n v="2.7297827432460715E-3"/>
  </r>
  <r>
    <s v="FI2022020"/>
    <x v="4"/>
    <x v="2"/>
    <n v="156233"/>
    <n v="68954"/>
    <n v="87279"/>
    <n v="135343"/>
    <n v="94063"/>
    <n v="41280"/>
    <n v="36826"/>
    <n v="6230746"/>
    <n v="6289791"/>
    <n v="31246.6"/>
    <n v="17455.8"/>
    <n v="0.27209386521652396"/>
    <n v="100.94763933564295"/>
    <n v="0.69499715537560125"/>
    <n v="1.4007792967326866E-2"/>
  </r>
  <r>
    <s v="FI2023001"/>
    <x v="4"/>
    <x v="3"/>
    <n v="118344"/>
    <n v="46593"/>
    <n v="71751"/>
    <n v="128055"/>
    <n v="45386"/>
    <n v="82669"/>
    <n v="65360"/>
    <n v="17259034"/>
    <n v="8730385"/>
    <n v="23668.799999999999"/>
    <n v="14350.2"/>
    <n v="0.51040568505720196"/>
    <n v="50.584435953947363"/>
    <n v="0.35442583265003319"/>
    <n v="4.1573010401393263E-3"/>
  </r>
  <r>
    <s v="FI2023002"/>
    <x v="4"/>
    <x v="3"/>
    <n v="68354"/>
    <n v="32190"/>
    <n v="36164"/>
    <n v="62306"/>
    <n v="43398"/>
    <n v="18908"/>
    <n v="7814"/>
    <n v="17550508"/>
    <n v="8393455"/>
    <n v="13670.8"/>
    <n v="7232.8"/>
    <n v="0.12541328282990402"/>
    <n v="47.824570092216135"/>
    <n v="0.69653002921066987"/>
    <n v="2.0605671357205157E-3"/>
  </r>
  <r>
    <s v="FI2023003"/>
    <x v="4"/>
    <x v="3"/>
    <n v="175438"/>
    <n v="58456"/>
    <n v="116982"/>
    <n v="219017"/>
    <n v="23016"/>
    <n v="196001"/>
    <n v="191617"/>
    <n v="18824880"/>
    <n v="9699744"/>
    <n v="35087.599999999999"/>
    <n v="23396.400000000001"/>
    <n v="0.87489555605272651"/>
    <n v="51.526192995652565"/>
    <n v="0.10508773291570973"/>
    <n v="6.2142228795083951E-3"/>
  </r>
  <r>
    <s v="FI2023004"/>
    <x v="4"/>
    <x v="3"/>
    <n v="152239"/>
    <n v="50510"/>
    <n v="101729"/>
    <n v="170662"/>
    <n v="36826"/>
    <n v="133836"/>
    <n v="129346"/>
    <n v="19801732"/>
    <n v="14252748"/>
    <n v="30447.8"/>
    <n v="20345.8"/>
    <n v="0.75790744278163857"/>
    <n v="71.977279563222041"/>
    <n v="0.21578324407308011"/>
    <n v="5.1373788919070315E-3"/>
  </r>
  <r>
    <s v="FI2023005"/>
    <x v="4"/>
    <x v="3"/>
    <n v="74045"/>
    <n v="60876"/>
    <n v="13169"/>
    <n v="125615"/>
    <n v="66919"/>
    <n v="58696"/>
    <n v="55559"/>
    <n v="6206751"/>
    <n v="3953692"/>
    <n v="14809"/>
    <n v="2633.8"/>
    <n v="0.44229590415157427"/>
    <n v="63.699864872942378"/>
    <n v="0.53273096365879868"/>
    <n v="2.1217219766025736E-3"/>
  </r>
  <r>
    <s v="FI2023006"/>
    <x v="4"/>
    <x v="3"/>
    <n v="186917"/>
    <n v="46674"/>
    <n v="140243"/>
    <n v="179580"/>
    <n v="37313"/>
    <n v="142267"/>
    <n v="127854"/>
    <n v="18944783"/>
    <n v="8910184"/>
    <n v="37383.4"/>
    <n v="28048.6"/>
    <n v="0.71196124290010021"/>
    <n v="47.032388811209927"/>
    <n v="0.20777926272413408"/>
    <n v="7.4027240111433313E-3"/>
  </r>
  <r>
    <s v="FI2023007"/>
    <x v="4"/>
    <x v="3"/>
    <n v="102887"/>
    <n v="59847"/>
    <n v="43040"/>
    <n v="121693"/>
    <n v="71622"/>
    <n v="50071"/>
    <n v="35765"/>
    <n v="11151537"/>
    <n v="7466951"/>
    <n v="20577.400000000001"/>
    <n v="8608"/>
    <n v="0.2938952938952939"/>
    <n v="66.958940278815376"/>
    <n v="0.58854658854658859"/>
    <n v="3.8595576555949195E-3"/>
  </r>
  <r>
    <s v="FI2023008"/>
    <x v="4"/>
    <x v="3"/>
    <n v="134761"/>
    <n v="46976"/>
    <n v="87785"/>
    <n v="119375"/>
    <n v="25886"/>
    <n v="93489"/>
    <n v="78623"/>
    <n v="13326435"/>
    <n v="12076760"/>
    <n v="26952.2"/>
    <n v="17557"/>
    <n v="0.6586219895287958"/>
    <n v="90.622585860359507"/>
    <n v="0.21684607329842931"/>
    <n v="6.5872830955915817E-3"/>
  </r>
  <r>
    <s v="FI2023009"/>
    <x v="4"/>
    <x v="3"/>
    <n v="190836"/>
    <n v="52727"/>
    <n v="138109"/>
    <n v="236580"/>
    <n v="23068"/>
    <n v="213512"/>
    <n v="204217"/>
    <n v="7531528"/>
    <n v="5108542"/>
    <n v="38167.199999999997"/>
    <n v="27621.8"/>
    <n v="0.86320483557359029"/>
    <n v="67.828759316834507"/>
    <n v="9.7506129004987743E-2"/>
    <n v="1.8337447593635713E-2"/>
  </r>
  <r>
    <s v="FI2023010"/>
    <x v="4"/>
    <x v="3"/>
    <n v="156752"/>
    <n v="30131"/>
    <n v="126621"/>
    <n v="241375"/>
    <n v="90969"/>
    <n v="150406"/>
    <n v="133368"/>
    <n v="16455591"/>
    <n v="5846230"/>
    <n v="31350.400000000001"/>
    <n v="25324.2"/>
    <n v="0.55253443811496639"/>
    <n v="35.527317128871275"/>
    <n v="0.37687830139823925"/>
    <n v="7.6947099621034578E-3"/>
  </r>
  <r>
    <s v="FI2023011"/>
    <x v="4"/>
    <x v="3"/>
    <n v="127064"/>
    <n v="31281"/>
    <n v="95783"/>
    <n v="169972"/>
    <n v="63511"/>
    <n v="106461"/>
    <n v="95856"/>
    <n v="9556766"/>
    <n v="9227018"/>
    <n v="25412.799999999999"/>
    <n v="19156.599999999999"/>
    <n v="0.56395170969336128"/>
    <n v="96.549585916407281"/>
    <n v="0.37365566093238889"/>
    <n v="1.0022532727075246E-2"/>
  </r>
  <r>
    <s v="FI2023012"/>
    <x v="4"/>
    <x v="3"/>
    <n v="69810"/>
    <n v="34322"/>
    <n v="35488"/>
    <n v="97357"/>
    <n v="47955"/>
    <n v="49402"/>
    <n v="35454"/>
    <n v="15495967"/>
    <n v="11607009"/>
    <n v="13962"/>
    <n v="7097.6"/>
    <n v="0.36416487771808909"/>
    <n v="74.903418418482687"/>
    <n v="0.49256858777489038"/>
    <n v="2.2901442678601473E-3"/>
  </r>
  <r>
    <s v="FI2023013"/>
    <x v="4"/>
    <x v="3"/>
    <n v="72031"/>
    <n v="69766"/>
    <n v="2265"/>
    <n v="34714"/>
    <n v="71699"/>
    <n v="-36985"/>
    <n v="-46808"/>
    <n v="12290213"/>
    <n v="5857281"/>
    <n v="14406.2"/>
    <n v="453"/>
    <n v="-1.3483896986806476"/>
    <n v="47.658091849181133"/>
    <n v="2.065420291525033"/>
    <n v="1.8429298174083719E-4"/>
  </r>
  <r>
    <s v="FI2023014"/>
    <x v="4"/>
    <x v="3"/>
    <n v="161041"/>
    <n v="56092"/>
    <n v="104949"/>
    <n v="188620"/>
    <n v="25350"/>
    <n v="163270"/>
    <n v="158715"/>
    <n v="5513313"/>
    <n v="14602823"/>
    <n v="32208.2"/>
    <n v="20989.8"/>
    <n v="0.84145371646697065"/>
    <n v="264.86475554716378"/>
    <n v="0.1343972007210264"/>
    <n v="1.9035559925583763E-2"/>
  </r>
  <r>
    <s v="FI2023015"/>
    <x v="4"/>
    <x v="3"/>
    <n v="198694"/>
    <n v="63117"/>
    <n v="135577"/>
    <n v="213971"/>
    <n v="38782"/>
    <n v="175189"/>
    <n v="155217"/>
    <n v="15252070"/>
    <n v="12042832"/>
    <n v="39738.800000000003"/>
    <n v="27115.4"/>
    <n v="0.72541138752447765"/>
    <n v="78.958672494946597"/>
    <n v="0.1812488608269345"/>
    <n v="8.8890884974957493E-3"/>
  </r>
  <r>
    <s v="FI2023016"/>
    <x v="4"/>
    <x v="3"/>
    <n v="196664"/>
    <n v="32173"/>
    <n v="164491"/>
    <n v="217695"/>
    <n v="50596"/>
    <n v="167099"/>
    <n v="163543"/>
    <n v="15073140"/>
    <n v="11843026"/>
    <n v="39332.800000000003"/>
    <n v="32898.199999999997"/>
    <n v="0.7512483061163554"/>
    <n v="78.57039740890086"/>
    <n v="0.23241691357174027"/>
    <n v="1.0912855582844716E-2"/>
  </r>
  <r>
    <s v="FI2023017"/>
    <x v="4"/>
    <x v="3"/>
    <n v="174184"/>
    <n v="40750"/>
    <n v="133434"/>
    <n v="229546"/>
    <n v="31566"/>
    <n v="197980"/>
    <n v="188790"/>
    <n v="5562621"/>
    <n v="6529801"/>
    <n v="34836.800000000003"/>
    <n v="26686.799999999999"/>
    <n v="0.8224495308129961"/>
    <n v="117.38712739911634"/>
    <n v="0.13751492075662394"/>
    <n v="2.3987613033496259E-2"/>
  </r>
  <r>
    <s v="FI2023018"/>
    <x v="4"/>
    <x v="3"/>
    <n v="139571"/>
    <n v="11589"/>
    <n v="127982"/>
    <n v="173217"/>
    <n v="15159"/>
    <n v="158058"/>
    <n v="143913"/>
    <n v="14600177"/>
    <n v="4195885"/>
    <n v="27914.2"/>
    <n v="25596.400000000001"/>
    <n v="0.83082491903219657"/>
    <n v="28.738589949971153"/>
    <n v="8.7514504927345471E-2"/>
    <n v="8.7657841408361001E-3"/>
  </r>
  <r>
    <s v="FI2023019"/>
    <x v="4"/>
    <x v="3"/>
    <n v="157507"/>
    <n v="18244"/>
    <n v="139263"/>
    <n v="174006"/>
    <n v="61101"/>
    <n v="112905"/>
    <n v="97564"/>
    <n v="7742974"/>
    <n v="14880707"/>
    <n v="31501.4"/>
    <n v="27852.6"/>
    <n v="0.56069330942611173"/>
    <n v="192.18335228815181"/>
    <n v="0.35114306403227474"/>
    <n v="1.7985724864890414E-2"/>
  </r>
  <r>
    <s v="FI2023020"/>
    <x v="4"/>
    <x v="3"/>
    <n v="121126"/>
    <n v="66071"/>
    <n v="55055"/>
    <n v="146176"/>
    <n v="89763"/>
    <n v="56413"/>
    <n v="48367"/>
    <n v="17988365"/>
    <n v="7363089"/>
    <n v="24225.200000000001"/>
    <n v="11011"/>
    <n v="0.33088195052539404"/>
    <n v="40.932508318571479"/>
    <n v="0.61407481392294216"/>
    <n v="3.0605894421199481E-3"/>
  </r>
  <r>
    <s v="FI2024001"/>
    <x v="4"/>
    <x v="4"/>
    <n v="96154"/>
    <n v="17016"/>
    <n v="79138"/>
    <n v="178701"/>
    <n v="63688"/>
    <n v="115013"/>
    <n v="99261"/>
    <n v="5578526"/>
    <n v="9612208"/>
    <n v="19230.8"/>
    <n v="15827.6"/>
    <n v="0.55545855926939414"/>
    <n v="172.30730841803015"/>
    <n v="0.35639420036821284"/>
    <n v="1.4186184665985244E-2"/>
  </r>
  <r>
    <s v="FI2024002"/>
    <x v="4"/>
    <x v="4"/>
    <n v="139081"/>
    <n v="41897"/>
    <n v="97184"/>
    <n v="168145"/>
    <n v="83703"/>
    <n v="84442"/>
    <n v="70453"/>
    <n v="10134544"/>
    <n v="3814422"/>
    <n v="27816.2"/>
    <n v="19436.8"/>
    <n v="0.41900145707573822"/>
    <n v="37.637825638726319"/>
    <n v="0.4978024918968747"/>
    <n v="9.5893806371554549E-3"/>
  </r>
  <r>
    <s v="FI2024003"/>
    <x v="4"/>
    <x v="4"/>
    <n v="112551"/>
    <n v="68161"/>
    <n v="44390"/>
    <n v="144013"/>
    <n v="37440"/>
    <n v="106573"/>
    <n v="102136"/>
    <n v="8135812"/>
    <n v="14264888"/>
    <n v="22510.2"/>
    <n v="8878"/>
    <n v="0.7092137515363196"/>
    <n v="175.33453329550878"/>
    <n v="0.25997652989660658"/>
    <n v="5.4561241090625E-3"/>
  </r>
  <r>
    <s v="FI2024004"/>
    <x v="4"/>
    <x v="4"/>
    <n v="105103"/>
    <n v="51627"/>
    <n v="53476"/>
    <n v="92484"/>
    <n v="86274"/>
    <n v="6210"/>
    <n v="-1583"/>
    <n v="8641771"/>
    <n v="9428099"/>
    <n v="21020.6"/>
    <n v="10695.2"/>
    <n v="-1.7116474200942866E-2"/>
    <n v="109.09915340269951"/>
    <n v="0.93285325029194244"/>
    <n v="6.1880834379897361E-3"/>
  </r>
  <r>
    <s v="FI2024005"/>
    <x v="4"/>
    <x v="4"/>
    <n v="197281"/>
    <n v="53148"/>
    <n v="144133"/>
    <n v="255351"/>
    <n v="17224"/>
    <n v="238127"/>
    <n v="227738"/>
    <n v="14955951"/>
    <n v="14714103"/>
    <n v="39456.199999999997"/>
    <n v="28826.6"/>
    <n v="0.89186257347729203"/>
    <n v="98.382931316102869"/>
    <n v="6.7452251998229892E-2"/>
    <n v="9.6371671717833257E-3"/>
  </r>
  <r>
    <s v="FI2024006"/>
    <x v="4"/>
    <x v="4"/>
    <n v="170779"/>
    <n v="42441"/>
    <n v="128338"/>
    <n v="187467"/>
    <n v="77368"/>
    <n v="110099"/>
    <n v="96008"/>
    <n v="7141912"/>
    <n v="6144311"/>
    <n v="34155.800000000003"/>
    <n v="25667.599999999999"/>
    <n v="0.5121328020398257"/>
    <n v="86.031737719535045"/>
    <n v="0.41270196887985616"/>
    <n v="1.7969697750406334E-2"/>
  </r>
  <r>
    <s v="FI2024007"/>
    <x v="4"/>
    <x v="4"/>
    <n v="73478"/>
    <n v="22180"/>
    <n v="51298"/>
    <n v="169836"/>
    <n v="30372"/>
    <n v="139464"/>
    <n v="136942"/>
    <n v="11674192"/>
    <n v="4404355"/>
    <n v="14695.6"/>
    <n v="10259.6"/>
    <n v="0.80631903718881748"/>
    <n v="37.727279112764293"/>
    <n v="0.17883134317812477"/>
    <n v="4.3941370846050844E-3"/>
  </r>
  <r>
    <s v="FI2024008"/>
    <x v="4"/>
    <x v="4"/>
    <n v="161022"/>
    <n v="64040"/>
    <n v="96982"/>
    <n v="192339"/>
    <n v="86368"/>
    <n v="105971"/>
    <n v="91151"/>
    <n v="16812691"/>
    <n v="5464722"/>
    <n v="32204.400000000001"/>
    <n v="19396.400000000001"/>
    <n v="0.47390804776982309"/>
    <n v="32.503553416880145"/>
    <n v="0.44904049620721748"/>
    <n v="5.7683805644200559E-3"/>
  </r>
  <r>
    <s v="FI2024009"/>
    <x v="4"/>
    <x v="4"/>
    <n v="55842"/>
    <n v="73115"/>
    <n v="-17273"/>
    <n v="69579"/>
    <n v="60968"/>
    <n v="8611"/>
    <n v="-10897"/>
    <n v="15638837"/>
    <n v="12911142"/>
    <n v="11168.4"/>
    <n v="-3454.6"/>
    <n v="-0.15661334598082755"/>
    <n v="82.558197901800497"/>
    <n v="0.87624139467368023"/>
    <n v="-1.1044938955499057E-3"/>
  </r>
  <r>
    <s v="FI2024010"/>
    <x v="4"/>
    <x v="4"/>
    <n v="116914"/>
    <n v="77055"/>
    <n v="39859"/>
    <n v="147556"/>
    <n v="20355"/>
    <n v="127201"/>
    <n v="116118"/>
    <n v="19980550"/>
    <n v="11343528"/>
    <n v="23382.799999999999"/>
    <n v="7971.8"/>
    <n v="0.78694190680148557"/>
    <n v="56.77285159817923"/>
    <n v="0.13794762666377511"/>
    <n v="1.9948900305547146E-3"/>
  </r>
  <r>
    <s v="FI2024011"/>
    <x v="4"/>
    <x v="4"/>
    <n v="52257"/>
    <n v="37364"/>
    <n v="14893"/>
    <n v="59865"/>
    <n v="41654"/>
    <n v="18211"/>
    <n v="978"/>
    <n v="9537871"/>
    <n v="3291464"/>
    <n v="10451.4"/>
    <n v="2978.6"/>
    <n v="1.6336757704835881E-2"/>
    <n v="34.509420393712603"/>
    <n v="0.6957988808151675"/>
    <n v="1.5614595752028938E-3"/>
  </r>
  <r>
    <s v="FI2024012"/>
    <x v="4"/>
    <x v="4"/>
    <n v="70808"/>
    <n v="62389"/>
    <n v="8419"/>
    <n v="124109"/>
    <n v="49773"/>
    <n v="74336"/>
    <n v="61476"/>
    <n v="5501590"/>
    <n v="12807020"/>
    <n v="14161.6"/>
    <n v="1683.8"/>
    <n v="0.49533877478667943"/>
    <n v="232.78761230844177"/>
    <n v="0.40104263188004091"/>
    <n v="1.5302848812797755E-3"/>
  </r>
  <r>
    <s v="FI2024013"/>
    <x v="4"/>
    <x v="4"/>
    <n v="107505"/>
    <n v="28135"/>
    <n v="79370"/>
    <n v="190257"/>
    <n v="62377"/>
    <n v="127880"/>
    <n v="109517"/>
    <n v="11087595"/>
    <n v="5575508"/>
    <n v="21501"/>
    <n v="15874"/>
    <n v="0.57562665237021504"/>
    <n v="50.285999804285787"/>
    <n v="0.32785653090293654"/>
    <n v="7.1584505025661565E-3"/>
  </r>
  <r>
    <s v="FI2024014"/>
    <x v="4"/>
    <x v="4"/>
    <n v="66923"/>
    <n v="57591"/>
    <n v="9332"/>
    <n v="91593"/>
    <n v="69336"/>
    <n v="22257"/>
    <n v="11710"/>
    <n v="19216724"/>
    <n v="12678075"/>
    <n v="13384.6"/>
    <n v="1866.4"/>
    <n v="0.12784819800639788"/>
    <n v="65.97417437019962"/>
    <n v="0.75700108086862539"/>
    <n v="4.8561867256874793E-4"/>
  </r>
  <r>
    <s v="FI2024015"/>
    <x v="4"/>
    <x v="4"/>
    <n v="76672"/>
    <n v="14213"/>
    <n v="62459"/>
    <n v="92752"/>
    <n v="70860"/>
    <n v="21892"/>
    <n v="17792"/>
    <n v="7338377"/>
    <n v="3806564"/>
    <n v="15334.4"/>
    <n v="12491.8"/>
    <n v="0.19182335690874591"/>
    <n v="51.872014752035767"/>
    <n v="0.7639727445230291"/>
    <n v="8.511282535634242E-3"/>
  </r>
  <r>
    <s v="FI2024016"/>
    <x v="4"/>
    <x v="4"/>
    <n v="68199"/>
    <n v="46609"/>
    <n v="21590"/>
    <n v="84555"/>
    <n v="23016"/>
    <n v="61539"/>
    <n v="52528"/>
    <n v="19974089"/>
    <n v="3737954"/>
    <n v="13639.8"/>
    <n v="4318"/>
    <n v="0.62122878599727993"/>
    <n v="18.714014942058181"/>
    <n v="0.27220152563420258"/>
    <n v="1.0809003604619965E-3"/>
  </r>
  <r>
    <s v="FI2024017"/>
    <x v="4"/>
    <x v="4"/>
    <n v="74472"/>
    <n v="61813"/>
    <n v="12659"/>
    <n v="68680"/>
    <n v="69131"/>
    <n v="-451"/>
    <n v="-15279"/>
    <n v="18562026"/>
    <n v="14368856"/>
    <n v="14894.4"/>
    <n v="2531.8000000000002"/>
    <n v="-0.22246651135701806"/>
    <n v="77.409955141750146"/>
    <n v="1.0065666860803728"/>
    <n v="6.8198374466235526E-4"/>
  </r>
  <r>
    <s v="FI2024018"/>
    <x v="4"/>
    <x v="4"/>
    <n v="182473"/>
    <n v="25193"/>
    <n v="157280"/>
    <n v="269669"/>
    <n v="59864"/>
    <n v="209805"/>
    <n v="203591"/>
    <n v="7378907"/>
    <n v="9990607"/>
    <n v="36494.6"/>
    <n v="31456"/>
    <n v="0.75496627346858558"/>
    <n v="135.39413086518098"/>
    <n v="0.22199066262714662"/>
    <n v="2.1314809903417945E-2"/>
  </r>
  <r>
    <s v="FI2024019"/>
    <x v="4"/>
    <x v="4"/>
    <n v="193022"/>
    <n v="12745"/>
    <n v="180277"/>
    <n v="255520"/>
    <n v="18866"/>
    <n v="236654"/>
    <n v="222698"/>
    <n v="14303721"/>
    <n v="5692794"/>
    <n v="38604.400000000001"/>
    <n v="36055.4"/>
    <n v="0.87154821540388228"/>
    <n v="39.799392060289769"/>
    <n v="7.3833750782717589E-2"/>
    <n v="1.2603503661739486E-2"/>
  </r>
  <r>
    <s v="FI2024020"/>
    <x v="4"/>
    <x v="4"/>
    <n v="101374"/>
    <n v="40116"/>
    <n v="61258"/>
    <n v="162287"/>
    <n v="35447"/>
    <n v="126840"/>
    <n v="106932"/>
    <n v="13417944"/>
    <n v="6201078"/>
    <n v="20274.8"/>
    <n v="12251.6"/>
    <n v="0.65890675161904522"/>
    <n v="46.21481502680291"/>
    <n v="0.21842168503946713"/>
    <n v="4.5653790178286626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1F2278-1F3A-4BE2-8B4B-ECE9485B47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7:C104"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DA260D-5E98-40D1-A9E7-E949D32E745D}" name="Profi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1:A72"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44" showAll="0"/>
    <pivotField numFmtId="44" showAll="0"/>
    <pivotField numFmtId="164" showAll="0"/>
    <pivotField numFmtId="164" showAll="0"/>
  </pivotFields>
  <rowItems count="1">
    <i/>
  </rowItems>
  <colItems count="1">
    <i/>
  </colItems>
  <dataFields count="1">
    <dataField name="Sum of Profit margin" fld="14" baseField="0" baseItem="0" numFmtId="1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C2D816-C06B-4736-8AF4-CE043D4BE38D}" name="Net interes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8:A69"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dataField="1" numFmtId="164" showAll="0"/>
  </pivotFields>
  <rowItems count="1">
    <i/>
  </rowItems>
  <colItems count="1">
    <i/>
  </colItems>
  <dataFields count="1">
    <dataField name="Sum of Net interest margin" fld="17" baseField="0" baseItem="0"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61C40-F174-4673-B36A-23991414607C}" name="Operating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8">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Fields count="1">
    <field x="1"/>
  </rowFields>
  <rowItems count="6">
    <i>
      <x v="2"/>
    </i>
    <i>
      <x v="1"/>
    </i>
    <i>
      <x v="3"/>
    </i>
    <i>
      <x v="4"/>
    </i>
    <i>
      <x/>
    </i>
    <i t="grand">
      <x/>
    </i>
  </rowItems>
  <colItems count="1">
    <i/>
  </colItems>
  <dataFields count="1">
    <dataField name="Sum of Operating_Income" fld="6" baseField="0" baseItem="0" numFmtId="164"/>
  </dataFields>
  <formats count="1">
    <format dxfId="3">
      <pivotArea collapsedLevelsAreSubtotals="1" fieldPosition="0">
        <references count="1">
          <reference field="1" count="0"/>
        </references>
      </pivotArea>
    </format>
  </formats>
  <chartFormats count="2">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1388C0-24AC-460B-8D01-9604E5EA9168}" name="% P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B52" firstHeaderRow="1" firstDataRow="1" firstDataCol="1"/>
  <pivotFields count="18">
    <pivotField showAll="0"/>
    <pivotField axis="axisRow"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Fields count="1">
    <field x="1"/>
  </rowFields>
  <rowItems count="6">
    <i>
      <x/>
    </i>
    <i>
      <x v="1"/>
    </i>
    <i>
      <x v="2"/>
    </i>
    <i>
      <x v="3"/>
    </i>
    <i>
      <x v="4"/>
    </i>
    <i t="grand">
      <x/>
    </i>
  </rowItems>
  <colItems count="1">
    <i/>
  </colItems>
  <dataFields count="1">
    <dataField name="% of Profit_After_Tax" fld="9" showDataAs="percentOfCol" baseField="1"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6E5E00-B38C-4B9C-B4EB-27BC6E32DAE7}" name="Interest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7:B83" firstHeaderRow="1" firstDataRow="1" firstDataCol="1"/>
  <pivotFields count="18">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Fields count="1">
    <field x="1"/>
  </rowFields>
  <rowItems count="6">
    <i>
      <x v="2"/>
    </i>
    <i>
      <x v="4"/>
    </i>
    <i>
      <x v="3"/>
    </i>
    <i>
      <x v="1"/>
    </i>
    <i>
      <x/>
    </i>
    <i t="grand">
      <x/>
    </i>
  </rowItems>
  <colItems count="1">
    <i/>
  </colItems>
  <dataFields count="1">
    <dataField name="Sum of Interest_Income" fld="3" baseField="0" baseItem="0" numFmtId="165"/>
  </dataFields>
  <formats count="1">
    <format dxfId="4">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662B4-8542-4409-AC7A-73584452F9EC}" name="Total Ass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A75"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44" showAll="0"/>
    <pivotField numFmtId="44" showAll="0"/>
    <pivotField numFmtId="164" showAll="0"/>
    <pivotField numFmtId="164" showAll="0"/>
  </pivotFields>
  <rowItems count="1">
    <i/>
  </rowItems>
  <colItems count="1">
    <i/>
  </colItems>
  <dataFields count="1">
    <dataField name="Sum of Total_Assets" fld="10"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69CF67-42F5-4F55-B3AB-B6FDA05056A0}" name="PB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1" firstHeaderRow="1" firstDataRow="1" firstDataCol="1"/>
  <pivotFields count="18">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Fields count="1">
    <field x="1"/>
  </rowFields>
  <rowItems count="6">
    <i>
      <x v="2"/>
    </i>
    <i>
      <x v="1"/>
    </i>
    <i>
      <x v="3"/>
    </i>
    <i>
      <x v="4"/>
    </i>
    <i>
      <x/>
    </i>
    <i t="grand">
      <x/>
    </i>
  </rowItems>
  <colItems count="1">
    <i/>
  </colItems>
  <dataFields count="1">
    <dataField name="Sum of Profit_Before_Tax" fld="8" baseField="0" baseItem="0" numFmtId="164"/>
  </dataFields>
  <formats count="1">
    <format dxfId="6">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38EC24-9A38-4446-8518-8ECC024C7C70}" name="Liabil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44" showAll="0"/>
    <pivotField numFmtId="44" showAll="0"/>
    <pivotField numFmtId="164" showAll="0"/>
    <pivotField numFmtId="164" showAll="0"/>
  </pivotFields>
  <rowItems count="1">
    <i/>
  </rowItems>
  <colItems count="1">
    <i/>
  </colItems>
  <dataFields count="1">
    <dataField name="Sum of Total_Liabilities" fld="11"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0AD742-41CE-458A-8BD3-CFD255FB5F6A}" name="P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Items count="1">
    <i/>
  </rowItems>
  <colItems count="1">
    <i/>
  </colItems>
  <dataFields count="1">
    <dataField name="Sum of Profit_After_Tax" fld="9"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4791FC-653D-42A2-A145-E77B23276270}" name="Net interest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B41" firstHeaderRow="1" firstDataRow="1" firstDataCol="1"/>
  <pivotFields count="18">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numFmtId="164" showAll="0"/>
    <pivotField numFmtId="164" showAll="0"/>
  </pivotFields>
  <rowFields count="1">
    <field x="1"/>
  </rowFields>
  <rowItems count="6">
    <i>
      <x v="2"/>
    </i>
    <i>
      <x v="3"/>
    </i>
    <i>
      <x v="4"/>
    </i>
    <i>
      <x v="1"/>
    </i>
    <i>
      <x/>
    </i>
    <i t="grand">
      <x/>
    </i>
  </rowItems>
  <colItems count="1">
    <i/>
  </colItems>
  <dataFields count="1">
    <dataField name="Sum of Net_Interest_Income" fld="5" baseField="0" baseItem="0" numFmtId="164"/>
  </dataFields>
  <formats count="1">
    <format dxfId="9">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64FA15-70A5-49D2-88EC-543EB1958B36}" name="Cost to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4:A65" firstHeaderRow="1" firstDataRow="1" firstDataCol="0"/>
  <pivotFields count="18">
    <pivotField showAll="0"/>
    <pivotField showAll="0">
      <items count="6">
        <item x="0"/>
        <item x="4"/>
        <item x="1"/>
        <item x="3"/>
        <item x="2"/>
        <item t="default"/>
      </items>
    </pivotField>
    <pivotField showAll="0">
      <items count="6">
        <item x="0"/>
        <item x="1"/>
        <item x="2"/>
        <item x="3"/>
        <item x="4"/>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44" showAll="0"/>
    <pivotField numFmtId="44" showAll="0"/>
    <pivotField dataField="1" numFmtId="164" showAll="0"/>
    <pivotField numFmtId="164" showAll="0"/>
  </pivotFields>
  <rowItems count="1">
    <i/>
  </rowItems>
  <colItems count="1">
    <i/>
  </colItems>
  <dataFields count="1">
    <dataField name="Sum of Cost to income" fld="16" baseField="0"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E3F4DEC-4498-4D71-80D8-D82FCB4DBFD3}" autoFormatId="16" applyNumberFormats="0" applyBorderFormats="0" applyFontFormats="0" applyPatternFormats="0" applyAlignmentFormats="0" applyWidthHeightFormats="0">
  <queryTableRefresh nextId="3">
    <queryTableFields count="2">
      <queryTableField id="1" name="Interest_Income" tableColumnId="1"/>
      <queryTableField id="2" name="Sum of Ne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7BB2AC2C-903C-4653-A1C6-0F800CE0E73C}" autoFormatId="16" applyNumberFormats="0" applyBorderFormats="0" applyFontFormats="0" applyPatternFormats="0" applyAlignmentFormats="0" applyWidthHeightFormats="0">
  <queryTableRefresh nextId="3">
    <queryTableFields count="2">
      <queryTableField id="1" name="Operating_Expense" tableColumnId="1"/>
      <queryTableField id="2" name="Sum"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1101395C-6211-4287-8E94-64BE473CEC2C}" autoFormatId="16" applyNumberFormats="0" applyBorderFormats="0" applyFontFormats="0" applyPatternFormats="0" applyAlignmentFormats="0" applyWidthHeightFormats="0">
  <queryTableRefresh nextId="3">
    <queryTableFields count="2">
      <queryTableField id="1" name="Operating_Income" tableColumnId="1"/>
      <queryTableField id="2" name="Sum of PB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1" xr16:uid="{577BEF43-4434-44B8-B7F4-805A2B77B863}" autoFormatId="16" applyNumberFormats="0" applyBorderFormats="0" applyFontFormats="0" applyPatternFormats="0" applyAlignmentFormats="0" applyWidthHeightFormats="0">
  <queryTableRefresh nextId="3">
    <queryTableFields count="2">
      <queryTableField id="1" name="Interest_Income" tableColumnId="1"/>
      <queryTableField id="2" name="Sum of Ne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2" xr16:uid="{EE975882-45C8-4ED5-A620-0884D4537A1D}" autoFormatId="16" applyNumberFormats="0" applyBorderFormats="0" applyFontFormats="0" applyPatternFormats="0" applyAlignmentFormats="0" applyWidthHeightFormats="0">
  <queryTableRefresh nextId="5">
    <queryTableFields count="2">
      <queryTableField id="1" name="Operating_Income" tableColumnId="1"/>
      <queryTableField id="2" name="Sum of PB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8FC23CF7-DE02-4F94-BA2E-302DA16AFE05}" autoFormatId="16" applyNumberFormats="0" applyBorderFormats="0" applyFontFormats="0" applyPatternFormats="0" applyAlignmentFormats="0" applyWidthHeightFormats="0">
  <queryTableRefresh nextId="3">
    <queryTableFields count="2">
      <queryTableField id="1" name="Operating_Expense" tableColumnId="1"/>
      <queryTableField id="2" name="Sum"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Name" xr10:uid="{0ED82B5D-C4C7-43ED-8631-F64FC1A29274}" sourceName="Bank_Name">
  <pivotTables>
    <pivotTable tabId="2" name="Interest income"/>
    <pivotTable tabId="2" name="% PAT"/>
    <pivotTable tabId="2" name="Cost to income"/>
    <pivotTable tabId="2" name="Liabilities"/>
    <pivotTable tabId="2" name="Net interest income"/>
    <pivotTable tabId="2" name="Net interest margin"/>
    <pivotTable tabId="2" name="PAT"/>
    <pivotTable tabId="2" name="PBT"/>
    <pivotTable tabId="2" name="Profit margin"/>
    <pivotTable tabId="2" name="Total Asset"/>
    <pivotTable tabId="2" name="PivotTable3"/>
  </pivotTables>
  <data>
    <tabular pivotCacheId="696953140">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AFAD92C-EBF5-48D6-A036-9E58CAE177DC}" sourceName="Year">
  <pivotTables>
    <pivotTable tabId="2" name="Interest income"/>
    <pivotTable tabId="2" name="% PAT"/>
    <pivotTable tabId="2" name="Cost to income"/>
    <pivotTable tabId="2" name="Liabilities"/>
    <pivotTable tabId="2" name="Net interest income"/>
    <pivotTable tabId="2" name="Net interest margin"/>
    <pivotTable tabId="2" name="Operating income"/>
    <pivotTable tabId="2" name="PAT"/>
    <pivotTable tabId="2" name="PBT"/>
    <pivotTable tabId="2" name="Profit margin"/>
    <pivotTable tabId="2" name="Total Asset"/>
    <pivotTable tabId="2" name="PivotTable3"/>
  </pivotTables>
  <data>
    <tabular pivotCacheId="69695314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Name" xr10:uid="{C93D1B94-6249-47B2-AC2A-5EB6FEDCFDA2}" cache="Slicer_Bank_Name" caption="Bank_Name" style="SlicerStyleDark4" rowHeight="234950"/>
  <slicer name="Year" xr10:uid="{45DF6A39-BA23-4618-87E2-0B2C41631DD2}" cache="Slicer_Year" caption="Year"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_Name 1" xr10:uid="{CFEFBC6C-264B-4386-A32D-9913D9B2A07E}" cache="Slicer_Bank_Name" caption="Bank_Name" startItem="1" style="SlicerStyleDark4" rowHeight="234950"/>
  <slicer name="Year 1" xr10:uid="{B3D4BDD5-BD58-45F4-89CD-292E63722DB8}" cache="Slicer_Year" caption="Year" style="SlicerStyleDark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E1E31-DE00-484E-810E-E61B7D641484}" name="Table1" displayName="Table1" ref="A1:R501" totalsRowShown="0" headerRowDxfId="26">
  <autoFilter ref="A1:R501" xr:uid="{736E1E31-DE00-484E-810E-E61B7D641484}"/>
  <tableColumns count="18">
    <tableColumn id="1" xr3:uid="{10C0DB34-EFFB-4D6B-8E98-338DBB1FD6AF}" name="Record_ID"/>
    <tableColumn id="2" xr3:uid="{E6493199-D044-4F78-AF40-A86E5EAF1E76}" name="Bank_Name"/>
    <tableColumn id="3" xr3:uid="{F44BA785-2256-45C2-A807-D57AF9CB3FD7}" name="Year"/>
    <tableColumn id="4" xr3:uid="{15E9C1D0-1335-467A-95B4-94C878A47532}" name="Interest_Income" dataDxfId="25"/>
    <tableColumn id="5" xr3:uid="{7D3DB438-B5BB-490C-9448-B3702A1C9B4A}" name="Interest_Expense" dataDxfId="24"/>
    <tableColumn id="6" xr3:uid="{A5DDFAC8-476F-4EF8-9669-E0F958299382}" name="Net_Interest_Income" dataDxfId="23"/>
    <tableColumn id="7" xr3:uid="{9D728714-C74D-4163-8078-616DC380558B}" name="Operating_Income" dataDxfId="22"/>
    <tableColumn id="8" xr3:uid="{BD644FE0-7297-4A94-B563-76934318AD98}" name="Operating_Expense" dataDxfId="21"/>
    <tableColumn id="9" xr3:uid="{776E3E93-02C3-4ECD-A18E-B97CF6801E8B}" name="Profit_Before_Tax" dataDxfId="20"/>
    <tableColumn id="10" xr3:uid="{23872797-81C5-4A93-BDFF-5EC618D3E796}" name="Profit_After_Tax" dataDxfId="19"/>
    <tableColumn id="11" xr3:uid="{97698EC2-8048-47C9-90E1-1BF56126B0D9}" name="Total_Assets" dataDxfId="18"/>
    <tableColumn id="12" xr3:uid="{A2842701-E230-4E26-818C-3379041FCC2A}" name="Total_Liabilities" dataDxfId="17"/>
    <tableColumn id="13" xr3:uid="{62278A5F-7937-49E5-8A89-44694C3398CF}" name="Average interest income " dataDxfId="16">
      <calculatedColumnFormula>D2/5</calculatedColumnFormula>
    </tableColumn>
    <tableColumn id="14" xr3:uid="{B1E711D3-355E-4291-8144-AB2A5578F6FB}" name="Average net interest income" dataDxfId="15">
      <calculatedColumnFormula>F2/5</calculatedColumnFormula>
    </tableColumn>
    <tableColumn id="15" xr3:uid="{62C3C610-B68D-4412-911E-547D1E808DB5}" name="Profit margin" dataDxfId="14">
      <calculatedColumnFormula>J2/G2</calculatedColumnFormula>
    </tableColumn>
    <tableColumn id="16" xr3:uid="{D20D8760-924A-44C2-ADF7-186A8ED902C0}" name="Assets to liabilities ratio" dataDxfId="13">
      <calculatedColumnFormula>L2/K2*100</calculatedColumnFormula>
    </tableColumn>
    <tableColumn id="17" xr3:uid="{3C420BF7-33C0-4C80-9BA4-41FE2844A1B9}" name="Cost to income" dataDxfId="12">
      <calculatedColumnFormula>H2/G2</calculatedColumnFormula>
    </tableColumn>
    <tableColumn id="18" xr3:uid="{D3A19A74-E1DC-414F-A3F5-3F4FF393B651}" name="Net interest margin" dataDxfId="11">
      <calculatedColumnFormula>F2/K2</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54B12-E63C-4C33-97A6-9690CE776158}" name="Table1__3" displayName="Table1__3" ref="V2:W500" tableType="queryTable" totalsRowShown="0">
  <autoFilter ref="V2:W500" xr:uid="{4BF54B12-E63C-4C33-97A6-9690CE776158}"/>
  <tableColumns count="2">
    <tableColumn id="1" xr3:uid="{658893B6-F009-471B-8B19-1E7FD5B39C9E}" uniqueName="1" name="Interest_Income" queryTableFieldId="1"/>
    <tableColumn id="2" xr3:uid="{36DCA49B-8260-4288-BCD9-0484B2DCD450}" uniqueName="2" name="Sum of Ne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12FDB9-9610-4192-A64C-99F5A207AB7A}" name="Table1__2" displayName="Table1__2" ref="AB2:AC500" tableType="queryTable" totalsRowShown="0">
  <autoFilter ref="AB2:AC500" xr:uid="{F612FDB9-9610-4192-A64C-99F5A207AB7A}"/>
  <tableColumns count="2">
    <tableColumn id="1" xr3:uid="{62D0C119-F03D-4EBF-8603-B71456204DB4}" uniqueName="1" name="Operating_Expense" queryTableFieldId="1"/>
    <tableColumn id="2" xr3:uid="{351A2E08-D5B6-4782-9B1D-FF0786E7BCFD}" uniqueName="2" name="Sum"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EBE37-FAF0-4F6F-AC32-312AAD1FA002}" name="Table1__5" displayName="Table1__5" ref="Y2:Z502" tableType="queryTable" totalsRowShown="0">
  <autoFilter ref="Y2:Z502" xr:uid="{EFEEBE37-FAF0-4F6F-AC32-312AAD1FA002}"/>
  <tableColumns count="2">
    <tableColumn id="1" xr3:uid="{A04DBD5F-EA77-4784-BCBE-954975633C72}" uniqueName="1" name="Operating_Income" queryTableFieldId="1"/>
    <tableColumn id="2" xr3:uid="{680D32EE-E82D-4C7A-9900-056825D65DA9}" uniqueName="2" name="Sum of PB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BBDCB3-0CDB-490E-9B61-3BCA063BD958}" name="Table1__369" displayName="Table1__369" ref="A1:B499" tableType="queryTable" totalsRowShown="0">
  <autoFilter ref="A1:B499" xr:uid="{45BBDCB3-0CDB-490E-9B61-3BCA063BD958}"/>
  <tableColumns count="2">
    <tableColumn id="1" xr3:uid="{747BFEE7-70B7-43AA-B937-4D26DD014B56}" uniqueName="1" name="Interest_Income" queryTableFieldId="1"/>
    <tableColumn id="2" xr3:uid="{95936BAE-8E63-4898-AABF-FB5F4478C355}" uniqueName="2" name="Sum of Ne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7A3D17-E1E6-43C9-9494-49B3BDBF3A27}" name="Table1__5711" displayName="Table1__5711" ref="C1:D501" tableType="queryTable" totalsRowShown="0">
  <autoFilter ref="C1:D501" xr:uid="{7B7A3D17-E1E6-43C9-9494-49B3BDBF3A27}"/>
  <tableColumns count="2">
    <tableColumn id="1" xr3:uid="{36DE15C2-802C-43AC-9338-9FB3760F5118}" uniqueName="1" name="Operating_Income" queryTableFieldId="1"/>
    <tableColumn id="2" xr3:uid="{5F8FF78C-F3A9-4BB3-9C93-C1D6F9B30B35}" uniqueName="2" name="Sum of PB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08C210E-303A-44B5-B061-658A1B30B3BE}" name="Table1__212" displayName="Table1__212" ref="E1:F499" tableType="queryTable" totalsRowShown="0">
  <autoFilter ref="E1:F499" xr:uid="{D08C210E-303A-44B5-B061-658A1B30B3BE}"/>
  <tableColumns count="2">
    <tableColumn id="1" xr3:uid="{338DB5FE-CBF5-4F11-A3B9-62ACCF63FF40}" uniqueName="1" name="Operating_Expense" queryTableFieldId="1"/>
    <tableColumn id="2" xr3:uid="{D92C53CB-D54A-4143-93EA-5D3E91810B99}" uniqueName="2" name="Sum" queryTableFieldId="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03"/>
  <sheetViews>
    <sheetView tabSelected="1" workbookViewId="0">
      <selection activeCell="Q1" sqref="Q1:Q1048576"/>
    </sheetView>
  </sheetViews>
  <sheetFormatPr defaultRowHeight="14.4" x14ac:dyDescent="0.3"/>
  <cols>
    <col min="1" max="1" width="14.109375" bestFit="1" customWidth="1"/>
    <col min="2" max="2" width="15.6640625" bestFit="1" customWidth="1"/>
    <col min="3" max="3" width="9.109375" bestFit="1" customWidth="1"/>
    <col min="4" max="4" width="19.33203125" bestFit="1" customWidth="1"/>
    <col min="5" max="5" width="19.88671875" bestFit="1" customWidth="1"/>
    <col min="6" max="6" width="23.44140625" bestFit="1" customWidth="1"/>
    <col min="7" max="7" width="21.21875" bestFit="1" customWidth="1"/>
    <col min="8" max="8" width="21.88671875" bestFit="1" customWidth="1"/>
    <col min="9" max="9" width="20.6640625" bestFit="1" customWidth="1"/>
    <col min="10" max="10" width="18.88671875" customWidth="1"/>
    <col min="11" max="11" width="15.88671875" bestFit="1" customWidth="1"/>
    <col min="12" max="12" width="18.44140625" bestFit="1" customWidth="1"/>
    <col min="13" max="13" width="25" style="2" customWidth="1"/>
    <col min="14" max="14" width="26.44140625" customWidth="1"/>
    <col min="15" max="15" width="13.88671875" style="7" customWidth="1"/>
    <col min="16" max="16" width="22.33203125" style="9" customWidth="1"/>
    <col min="17" max="17" width="18.109375" style="7" bestFit="1" customWidth="1"/>
    <col min="18" max="18" width="20.6640625" style="9" bestFit="1" customWidth="1"/>
    <col min="22" max="22" width="17.109375" bestFit="1" customWidth="1"/>
    <col min="23" max="23" width="12.6640625" bestFit="1" customWidth="1"/>
    <col min="25" max="25" width="19" bestFit="1" customWidth="1"/>
    <col min="26" max="26" width="12.88671875" bestFit="1" customWidth="1"/>
    <col min="28" max="28" width="19.6640625" bestFit="1" customWidth="1"/>
    <col min="29" max="29" width="7.109375" bestFit="1"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4" t="s">
        <v>519</v>
      </c>
      <c r="N1" s="3" t="s">
        <v>520</v>
      </c>
      <c r="O1" s="12" t="s">
        <v>517</v>
      </c>
      <c r="P1" s="8" t="s">
        <v>518</v>
      </c>
      <c r="Q1" s="12" t="s">
        <v>528</v>
      </c>
      <c r="R1" s="8" t="s">
        <v>529</v>
      </c>
    </row>
    <row r="2" spans="1:29" x14ac:dyDescent="0.3">
      <c r="A2" t="s">
        <v>12</v>
      </c>
      <c r="B2" t="s">
        <v>512</v>
      </c>
      <c r="C2">
        <v>2020</v>
      </c>
      <c r="D2" s="2">
        <v>171958</v>
      </c>
      <c r="E2" s="2">
        <v>25795</v>
      </c>
      <c r="F2" s="2">
        <v>146163</v>
      </c>
      <c r="G2" s="2">
        <v>167023</v>
      </c>
      <c r="H2" s="2">
        <v>91820</v>
      </c>
      <c r="I2" s="2">
        <v>75203</v>
      </c>
      <c r="J2" s="2">
        <v>66938</v>
      </c>
      <c r="K2" s="2">
        <v>14958614</v>
      </c>
      <c r="L2" s="2">
        <v>12524682</v>
      </c>
      <c r="M2" s="2">
        <f>D2/5</f>
        <v>34391.599999999999</v>
      </c>
      <c r="N2" s="2">
        <f>F2/5</f>
        <v>29232.6</v>
      </c>
      <c r="O2" s="7">
        <f t="shared" ref="O2:O65" si="0">J2/G2</f>
        <v>0.40077115127856644</v>
      </c>
      <c r="P2" s="9">
        <f>L2/K2*100</f>
        <v>83.728893599366899</v>
      </c>
      <c r="Q2" s="7">
        <f t="shared" ref="Q2:Q65" si="1">H2/G2</f>
        <v>0.54974464594696537</v>
      </c>
      <c r="R2" s="9">
        <f t="shared" ref="R2:R65" si="2">F2/K2</f>
        <v>9.7711592798637621E-3</v>
      </c>
      <c r="V2" t="s">
        <v>3</v>
      </c>
      <c r="W2" t="s">
        <v>534</v>
      </c>
      <c r="Y2" t="s">
        <v>6</v>
      </c>
      <c r="Z2" t="s">
        <v>535</v>
      </c>
      <c r="AB2" t="s">
        <v>7</v>
      </c>
      <c r="AC2" t="s">
        <v>533</v>
      </c>
    </row>
    <row r="3" spans="1:29" x14ac:dyDescent="0.3">
      <c r="A3" t="s">
        <v>13</v>
      </c>
      <c r="B3" t="s">
        <v>512</v>
      </c>
      <c r="C3">
        <v>2020</v>
      </c>
      <c r="D3" s="2">
        <v>162727</v>
      </c>
      <c r="E3" s="2">
        <v>54131</v>
      </c>
      <c r="F3" s="2">
        <v>108596</v>
      </c>
      <c r="G3" s="2">
        <v>188859</v>
      </c>
      <c r="H3" s="2">
        <v>31023</v>
      </c>
      <c r="I3" s="2">
        <v>157836</v>
      </c>
      <c r="J3" s="2">
        <v>147514</v>
      </c>
      <c r="K3" s="2">
        <v>9523669</v>
      </c>
      <c r="L3" s="2">
        <v>10404852</v>
      </c>
      <c r="M3" s="2">
        <f t="shared" ref="M3:M66" si="3">D3/5</f>
        <v>32545.4</v>
      </c>
      <c r="N3" s="2">
        <f t="shared" ref="N3:N66" si="4">F3/5</f>
        <v>21719.200000000001</v>
      </c>
      <c r="O3" s="7">
        <f t="shared" si="0"/>
        <v>0.78108006502205352</v>
      </c>
      <c r="P3" s="9">
        <f t="shared" ref="P3:P66" si="5">L3/K3*100</f>
        <v>109.25255802149361</v>
      </c>
      <c r="Q3" s="7">
        <f t="shared" si="1"/>
        <v>0.16426540434927644</v>
      </c>
      <c r="R3" s="9">
        <f t="shared" si="2"/>
        <v>1.1402748247550392E-2</v>
      </c>
      <c r="V3">
        <v>171958</v>
      </c>
      <c r="W3">
        <v>146163</v>
      </c>
      <c r="Y3">
        <v>167023</v>
      </c>
      <c r="Z3">
        <v>75203</v>
      </c>
      <c r="AB3">
        <v>91820</v>
      </c>
      <c r="AC3">
        <v>66938</v>
      </c>
    </row>
    <row r="4" spans="1:29" x14ac:dyDescent="0.3">
      <c r="A4" t="s">
        <v>14</v>
      </c>
      <c r="B4" t="s">
        <v>512</v>
      </c>
      <c r="C4">
        <v>2020</v>
      </c>
      <c r="D4" s="2">
        <v>50769</v>
      </c>
      <c r="E4" s="2">
        <v>69735</v>
      </c>
      <c r="F4" s="2">
        <v>-18966</v>
      </c>
      <c r="G4" s="2">
        <v>63989</v>
      </c>
      <c r="H4" s="2">
        <v>79925</v>
      </c>
      <c r="I4" s="2">
        <v>-15936</v>
      </c>
      <c r="J4" s="2">
        <v>-20369</v>
      </c>
      <c r="K4" s="2">
        <v>14180351</v>
      </c>
      <c r="L4" s="2">
        <v>3103355</v>
      </c>
      <c r="M4" s="2">
        <f t="shared" si="3"/>
        <v>10153.799999999999</v>
      </c>
      <c r="N4" s="2">
        <f t="shared" si="4"/>
        <v>-3793.2</v>
      </c>
      <c r="O4" s="7">
        <f t="shared" si="0"/>
        <v>-0.31832033630780293</v>
      </c>
      <c r="P4" s="9">
        <f t="shared" si="5"/>
        <v>21.884895514927663</v>
      </c>
      <c r="Q4" s="7">
        <f t="shared" si="1"/>
        <v>1.2490428042319774</v>
      </c>
      <c r="R4" s="9">
        <f t="shared" si="2"/>
        <v>-1.3374845234790027E-3</v>
      </c>
      <c r="V4">
        <v>162727</v>
      </c>
      <c r="W4">
        <v>108596</v>
      </c>
      <c r="Y4">
        <v>188859</v>
      </c>
      <c r="Z4">
        <v>157836</v>
      </c>
      <c r="AB4">
        <v>31023</v>
      </c>
      <c r="AC4">
        <v>147514</v>
      </c>
    </row>
    <row r="5" spans="1:29" x14ac:dyDescent="0.3">
      <c r="A5" t="s">
        <v>15</v>
      </c>
      <c r="B5" t="s">
        <v>512</v>
      </c>
      <c r="C5">
        <v>2020</v>
      </c>
      <c r="D5" s="2">
        <v>135305</v>
      </c>
      <c r="E5" s="2">
        <v>38693</v>
      </c>
      <c r="F5" s="2">
        <v>96612</v>
      </c>
      <c r="G5" s="2">
        <v>188544</v>
      </c>
      <c r="H5" s="2">
        <v>40658</v>
      </c>
      <c r="I5" s="2">
        <v>147886</v>
      </c>
      <c r="J5" s="2">
        <v>143139</v>
      </c>
      <c r="K5" s="2">
        <v>18231055</v>
      </c>
      <c r="L5" s="2">
        <v>12889550</v>
      </c>
      <c r="M5" s="2">
        <f t="shared" si="3"/>
        <v>27061</v>
      </c>
      <c r="N5" s="2">
        <f t="shared" si="4"/>
        <v>19322.400000000001</v>
      </c>
      <c r="O5" s="7">
        <f t="shared" si="0"/>
        <v>0.75918088085539714</v>
      </c>
      <c r="P5" s="9">
        <f t="shared" si="5"/>
        <v>70.701064749132726</v>
      </c>
      <c r="Q5" s="7">
        <f t="shared" si="1"/>
        <v>0.21564197216564834</v>
      </c>
      <c r="R5" s="9">
        <f t="shared" si="2"/>
        <v>5.2993093378304219E-3</v>
      </c>
      <c r="V5">
        <v>50769</v>
      </c>
      <c r="W5">
        <v>-18966</v>
      </c>
      <c r="Y5">
        <v>63989</v>
      </c>
      <c r="Z5">
        <v>-15936</v>
      </c>
      <c r="AB5">
        <v>79925</v>
      </c>
      <c r="AC5">
        <v>-20369</v>
      </c>
    </row>
    <row r="6" spans="1:29" x14ac:dyDescent="0.3">
      <c r="A6" t="s">
        <v>16</v>
      </c>
      <c r="B6" t="s">
        <v>512</v>
      </c>
      <c r="C6">
        <v>2020</v>
      </c>
      <c r="D6" s="2">
        <v>115725</v>
      </c>
      <c r="E6" s="2">
        <v>45773</v>
      </c>
      <c r="F6" s="2">
        <v>69952</v>
      </c>
      <c r="G6" s="2">
        <v>157387</v>
      </c>
      <c r="H6" s="2">
        <v>71886</v>
      </c>
      <c r="I6" s="2">
        <v>85501</v>
      </c>
      <c r="J6" s="2">
        <v>82234</v>
      </c>
      <c r="K6" s="2">
        <v>16041599</v>
      </c>
      <c r="L6" s="2">
        <v>11242680</v>
      </c>
      <c r="M6" s="2">
        <f t="shared" si="3"/>
        <v>23145</v>
      </c>
      <c r="N6" s="2">
        <f t="shared" si="4"/>
        <v>13990.4</v>
      </c>
      <c r="O6" s="7">
        <f t="shared" si="0"/>
        <v>0.52249550471131667</v>
      </c>
      <c r="P6" s="9">
        <f t="shared" si="5"/>
        <v>70.084534590348497</v>
      </c>
      <c r="Q6" s="7">
        <f t="shared" si="1"/>
        <v>0.45674674528391801</v>
      </c>
      <c r="R6" s="9">
        <f t="shared" si="2"/>
        <v>4.3606625499116392E-3</v>
      </c>
      <c r="V6">
        <v>135305</v>
      </c>
      <c r="W6">
        <v>96612</v>
      </c>
      <c r="Y6">
        <v>188544</v>
      </c>
      <c r="Z6">
        <v>147886</v>
      </c>
      <c r="AB6">
        <v>40658</v>
      </c>
      <c r="AC6">
        <v>143139</v>
      </c>
    </row>
    <row r="7" spans="1:29" x14ac:dyDescent="0.3">
      <c r="A7" t="s">
        <v>17</v>
      </c>
      <c r="B7" t="s">
        <v>512</v>
      </c>
      <c r="C7">
        <v>2020</v>
      </c>
      <c r="D7" s="2">
        <v>61394</v>
      </c>
      <c r="E7" s="2">
        <v>79092</v>
      </c>
      <c r="F7" s="2">
        <v>-17698</v>
      </c>
      <c r="G7" s="2">
        <v>6192</v>
      </c>
      <c r="H7" s="2">
        <v>56606</v>
      </c>
      <c r="I7" s="2">
        <v>-50414</v>
      </c>
      <c r="J7" s="2">
        <v>-66916</v>
      </c>
      <c r="K7" s="2">
        <v>11640913</v>
      </c>
      <c r="L7" s="2">
        <v>6416664</v>
      </c>
      <c r="M7" s="2">
        <f t="shared" si="3"/>
        <v>12278.8</v>
      </c>
      <c r="N7" s="2">
        <f t="shared" si="4"/>
        <v>-3539.6</v>
      </c>
      <c r="O7" s="7">
        <f t="shared" si="0"/>
        <v>-10.806847545219638</v>
      </c>
      <c r="P7" s="9">
        <f t="shared" si="5"/>
        <v>55.121655835757899</v>
      </c>
      <c r="Q7" s="7">
        <f t="shared" si="1"/>
        <v>9.1417958656330747</v>
      </c>
      <c r="R7" s="9">
        <f t="shared" si="2"/>
        <v>-1.5203274863406333E-3</v>
      </c>
      <c r="V7">
        <v>115725</v>
      </c>
      <c r="W7">
        <v>69952</v>
      </c>
      <c r="Y7">
        <v>157387</v>
      </c>
      <c r="Z7">
        <v>85501</v>
      </c>
      <c r="AB7">
        <v>71886</v>
      </c>
      <c r="AC7">
        <v>82234</v>
      </c>
    </row>
    <row r="8" spans="1:29" x14ac:dyDescent="0.3">
      <c r="A8" t="s">
        <v>18</v>
      </c>
      <c r="B8" t="s">
        <v>512</v>
      </c>
      <c r="C8">
        <v>2020</v>
      </c>
      <c r="D8" s="2">
        <v>118148</v>
      </c>
      <c r="E8" s="2">
        <v>33483</v>
      </c>
      <c r="F8" s="2">
        <v>84665</v>
      </c>
      <c r="G8" s="2">
        <v>153220</v>
      </c>
      <c r="H8" s="2">
        <v>32159</v>
      </c>
      <c r="I8" s="2">
        <v>121061</v>
      </c>
      <c r="J8" s="2">
        <v>106855</v>
      </c>
      <c r="K8" s="2">
        <v>11397986</v>
      </c>
      <c r="L8" s="2">
        <v>4870928</v>
      </c>
      <c r="M8" s="2">
        <f t="shared" si="3"/>
        <v>23629.599999999999</v>
      </c>
      <c r="N8" s="2">
        <f t="shared" si="4"/>
        <v>16933</v>
      </c>
      <c r="O8" s="7">
        <f t="shared" si="0"/>
        <v>0.69739590131836571</v>
      </c>
      <c r="P8" s="9">
        <f t="shared" si="5"/>
        <v>42.734988444449748</v>
      </c>
      <c r="Q8" s="7">
        <f t="shared" si="1"/>
        <v>0.20988774311447592</v>
      </c>
      <c r="R8" s="9">
        <f t="shared" si="2"/>
        <v>7.4280666777446474E-3</v>
      </c>
      <c r="V8">
        <v>61394</v>
      </c>
      <c r="W8">
        <v>-17698</v>
      </c>
      <c r="Y8">
        <v>6192</v>
      </c>
      <c r="Z8">
        <v>-50414</v>
      </c>
      <c r="AB8">
        <v>56606</v>
      </c>
      <c r="AC8">
        <v>-66916</v>
      </c>
    </row>
    <row r="9" spans="1:29" x14ac:dyDescent="0.3">
      <c r="A9" t="s">
        <v>19</v>
      </c>
      <c r="B9" t="s">
        <v>512</v>
      </c>
      <c r="C9">
        <v>2020</v>
      </c>
      <c r="D9" s="2">
        <v>69457</v>
      </c>
      <c r="E9" s="2">
        <v>76557</v>
      </c>
      <c r="F9" s="2">
        <v>-7100</v>
      </c>
      <c r="G9" s="2">
        <v>90089</v>
      </c>
      <c r="H9" s="2">
        <v>93953</v>
      </c>
      <c r="I9" s="2">
        <v>-3864</v>
      </c>
      <c r="J9" s="2">
        <v>-13853</v>
      </c>
      <c r="K9" s="2">
        <v>5271836</v>
      </c>
      <c r="L9" s="2">
        <v>6584702</v>
      </c>
      <c r="M9" s="2">
        <f t="shared" si="3"/>
        <v>13891.4</v>
      </c>
      <c r="N9" s="2">
        <f t="shared" si="4"/>
        <v>-1420</v>
      </c>
      <c r="O9" s="7">
        <f t="shared" si="0"/>
        <v>-0.1537701606189435</v>
      </c>
      <c r="P9" s="9">
        <f t="shared" si="5"/>
        <v>124.90339229065547</v>
      </c>
      <c r="Q9" s="7">
        <f t="shared" si="1"/>
        <v>1.0428909189801197</v>
      </c>
      <c r="R9" s="9">
        <f t="shared" si="2"/>
        <v>-1.3467793762931928E-3</v>
      </c>
      <c r="V9">
        <v>118148</v>
      </c>
      <c r="W9">
        <v>84665</v>
      </c>
      <c r="Y9">
        <v>153220</v>
      </c>
      <c r="Z9">
        <v>121061</v>
      </c>
      <c r="AB9">
        <v>32159</v>
      </c>
      <c r="AC9">
        <v>106855</v>
      </c>
    </row>
    <row r="10" spans="1:29" x14ac:dyDescent="0.3">
      <c r="A10" t="s">
        <v>20</v>
      </c>
      <c r="B10" t="s">
        <v>512</v>
      </c>
      <c r="C10">
        <v>2020</v>
      </c>
      <c r="D10" s="2">
        <v>87065</v>
      </c>
      <c r="E10" s="2">
        <v>42606</v>
      </c>
      <c r="F10" s="2">
        <v>44459</v>
      </c>
      <c r="G10" s="2">
        <v>75993</v>
      </c>
      <c r="H10" s="2">
        <v>55397</v>
      </c>
      <c r="I10" s="2">
        <v>20596</v>
      </c>
      <c r="J10" s="2">
        <v>17580</v>
      </c>
      <c r="K10" s="2">
        <v>6007293</v>
      </c>
      <c r="L10" s="2">
        <v>7774183</v>
      </c>
      <c r="M10" s="2">
        <f t="shared" si="3"/>
        <v>17413</v>
      </c>
      <c r="N10" s="2">
        <f t="shared" si="4"/>
        <v>8891.7999999999993</v>
      </c>
      <c r="O10" s="7">
        <f t="shared" si="0"/>
        <v>0.23133709683786666</v>
      </c>
      <c r="P10" s="9">
        <f t="shared" si="5"/>
        <v>129.41241587517041</v>
      </c>
      <c r="Q10" s="7">
        <f t="shared" si="1"/>
        <v>0.72897503717447665</v>
      </c>
      <c r="R10" s="9">
        <f t="shared" si="2"/>
        <v>7.4008376152120432E-3</v>
      </c>
      <c r="V10">
        <v>69457</v>
      </c>
      <c r="W10">
        <v>-7100</v>
      </c>
      <c r="Y10">
        <v>90089</v>
      </c>
      <c r="Z10">
        <v>-3864</v>
      </c>
      <c r="AB10">
        <v>93953</v>
      </c>
      <c r="AC10">
        <v>-13853</v>
      </c>
    </row>
    <row r="11" spans="1:29" x14ac:dyDescent="0.3">
      <c r="A11" t="s">
        <v>21</v>
      </c>
      <c r="B11" t="s">
        <v>512</v>
      </c>
      <c r="C11">
        <v>2020</v>
      </c>
      <c r="D11" s="2">
        <v>73247</v>
      </c>
      <c r="E11" s="2">
        <v>34300</v>
      </c>
      <c r="F11" s="2">
        <v>38947</v>
      </c>
      <c r="G11" s="2">
        <v>133012</v>
      </c>
      <c r="H11" s="2">
        <v>97798</v>
      </c>
      <c r="I11" s="2">
        <v>35214</v>
      </c>
      <c r="J11" s="2">
        <v>23946</v>
      </c>
      <c r="K11" s="2">
        <v>8494679</v>
      </c>
      <c r="L11" s="2">
        <v>8517209</v>
      </c>
      <c r="M11" s="2">
        <f t="shared" si="3"/>
        <v>14649.4</v>
      </c>
      <c r="N11" s="2">
        <f t="shared" si="4"/>
        <v>7789.4</v>
      </c>
      <c r="O11" s="7">
        <f t="shared" si="0"/>
        <v>0.18002886957567737</v>
      </c>
      <c r="P11" s="9">
        <f t="shared" si="5"/>
        <v>100.26522485428819</v>
      </c>
      <c r="Q11" s="7">
        <f t="shared" si="1"/>
        <v>0.73525696929600337</v>
      </c>
      <c r="R11" s="9">
        <f t="shared" si="2"/>
        <v>4.5848701287005663E-3</v>
      </c>
      <c r="V11">
        <v>87065</v>
      </c>
      <c r="W11">
        <v>44459</v>
      </c>
      <c r="Y11">
        <v>75993</v>
      </c>
      <c r="Z11">
        <v>20596</v>
      </c>
      <c r="AB11">
        <v>55397</v>
      </c>
      <c r="AC11">
        <v>17580</v>
      </c>
    </row>
    <row r="12" spans="1:29" x14ac:dyDescent="0.3">
      <c r="A12" t="s">
        <v>22</v>
      </c>
      <c r="B12" t="s">
        <v>512</v>
      </c>
      <c r="C12">
        <v>2020</v>
      </c>
      <c r="D12" s="2">
        <v>189643</v>
      </c>
      <c r="E12" s="2">
        <v>48044</v>
      </c>
      <c r="F12" s="2">
        <v>141599</v>
      </c>
      <c r="G12" s="2">
        <v>212813</v>
      </c>
      <c r="H12" s="2">
        <v>76228</v>
      </c>
      <c r="I12" s="2">
        <v>136585</v>
      </c>
      <c r="J12" s="2">
        <v>118137</v>
      </c>
      <c r="K12" s="2">
        <v>5048984</v>
      </c>
      <c r="L12" s="2">
        <v>13788678</v>
      </c>
      <c r="M12" s="2">
        <f t="shared" si="3"/>
        <v>37928.6</v>
      </c>
      <c r="N12" s="2">
        <f t="shared" si="4"/>
        <v>28319.8</v>
      </c>
      <c r="O12" s="7">
        <f t="shared" si="0"/>
        <v>0.5551211627109246</v>
      </c>
      <c r="P12" s="9">
        <f t="shared" si="5"/>
        <v>273.09807280038916</v>
      </c>
      <c r="Q12" s="7">
        <f t="shared" si="1"/>
        <v>0.35819240365955085</v>
      </c>
      <c r="R12" s="9">
        <f t="shared" si="2"/>
        <v>2.804504827109771E-2</v>
      </c>
      <c r="V12">
        <v>73247</v>
      </c>
      <c r="W12">
        <v>38947</v>
      </c>
      <c r="Y12">
        <v>133012</v>
      </c>
      <c r="Z12">
        <v>35214</v>
      </c>
      <c r="AB12">
        <v>97798</v>
      </c>
      <c r="AC12">
        <v>23946</v>
      </c>
    </row>
    <row r="13" spans="1:29" x14ac:dyDescent="0.3">
      <c r="A13" t="s">
        <v>23</v>
      </c>
      <c r="B13" t="s">
        <v>512</v>
      </c>
      <c r="C13">
        <v>2020</v>
      </c>
      <c r="D13" s="2">
        <v>52568</v>
      </c>
      <c r="E13" s="2">
        <v>72592</v>
      </c>
      <c r="F13" s="2">
        <v>-20024</v>
      </c>
      <c r="G13" s="2">
        <v>67539</v>
      </c>
      <c r="H13" s="2">
        <v>17695</v>
      </c>
      <c r="I13" s="2">
        <v>49844</v>
      </c>
      <c r="J13" s="2">
        <v>32422</v>
      </c>
      <c r="K13" s="2">
        <v>17719242</v>
      </c>
      <c r="L13" s="2">
        <v>4737095</v>
      </c>
      <c r="M13" s="2">
        <f t="shared" si="3"/>
        <v>10513.6</v>
      </c>
      <c r="N13" s="2">
        <f t="shared" si="4"/>
        <v>-4004.8</v>
      </c>
      <c r="O13" s="7">
        <f t="shared" si="0"/>
        <v>0.48004856453308459</v>
      </c>
      <c r="P13" s="9">
        <f t="shared" si="5"/>
        <v>26.734185356235894</v>
      </c>
      <c r="Q13" s="7">
        <f t="shared" si="1"/>
        <v>0.2619967722353011</v>
      </c>
      <c r="R13" s="9">
        <f t="shared" si="2"/>
        <v>-1.1300709138686632E-3</v>
      </c>
      <c r="V13">
        <v>189643</v>
      </c>
      <c r="W13">
        <v>141599</v>
      </c>
      <c r="Y13">
        <v>212813</v>
      </c>
      <c r="Z13">
        <v>136585</v>
      </c>
      <c r="AB13">
        <v>76228</v>
      </c>
      <c r="AC13">
        <v>118137</v>
      </c>
    </row>
    <row r="14" spans="1:29" x14ac:dyDescent="0.3">
      <c r="A14" t="s">
        <v>24</v>
      </c>
      <c r="B14" t="s">
        <v>512</v>
      </c>
      <c r="C14">
        <v>2020</v>
      </c>
      <c r="D14" s="2">
        <v>63986</v>
      </c>
      <c r="E14" s="2">
        <v>71858</v>
      </c>
      <c r="F14" s="2">
        <v>-7872</v>
      </c>
      <c r="G14" s="2">
        <v>24794</v>
      </c>
      <c r="H14" s="2">
        <v>53660</v>
      </c>
      <c r="I14" s="2">
        <v>-28866</v>
      </c>
      <c r="J14" s="2">
        <v>-34427</v>
      </c>
      <c r="K14" s="2">
        <v>17871910</v>
      </c>
      <c r="L14" s="2">
        <v>14336697</v>
      </c>
      <c r="M14" s="2">
        <f t="shared" si="3"/>
        <v>12797.2</v>
      </c>
      <c r="N14" s="2">
        <f t="shared" si="4"/>
        <v>-1574.4</v>
      </c>
      <c r="O14" s="7">
        <f t="shared" si="0"/>
        <v>-1.388521416471727</v>
      </c>
      <c r="P14" s="9">
        <f t="shared" si="5"/>
        <v>80.219165159179965</v>
      </c>
      <c r="Q14" s="7">
        <f t="shared" si="1"/>
        <v>2.1642332822457044</v>
      </c>
      <c r="R14" s="9">
        <f t="shared" si="2"/>
        <v>-4.4046775078880769E-4</v>
      </c>
      <c r="V14">
        <v>52568</v>
      </c>
      <c r="W14">
        <v>-20024</v>
      </c>
      <c r="Y14">
        <v>67539</v>
      </c>
      <c r="Z14">
        <v>49844</v>
      </c>
      <c r="AB14">
        <v>17695</v>
      </c>
      <c r="AC14">
        <v>32422</v>
      </c>
    </row>
    <row r="15" spans="1:29" x14ac:dyDescent="0.3">
      <c r="A15" t="s">
        <v>25</v>
      </c>
      <c r="B15" t="s">
        <v>512</v>
      </c>
      <c r="C15">
        <v>2020</v>
      </c>
      <c r="D15" s="2">
        <v>154488</v>
      </c>
      <c r="E15" s="2">
        <v>62251</v>
      </c>
      <c r="F15" s="2">
        <v>92237</v>
      </c>
      <c r="G15" s="2">
        <v>134899</v>
      </c>
      <c r="H15" s="2">
        <v>23392</v>
      </c>
      <c r="I15" s="2">
        <v>111507</v>
      </c>
      <c r="J15" s="2">
        <v>96440</v>
      </c>
      <c r="K15" s="2">
        <v>16910049</v>
      </c>
      <c r="L15" s="2">
        <v>10130144</v>
      </c>
      <c r="M15" s="2">
        <f t="shared" si="3"/>
        <v>30897.599999999999</v>
      </c>
      <c r="N15" s="2">
        <f t="shared" si="4"/>
        <v>18447.400000000001</v>
      </c>
      <c r="O15" s="7">
        <f t="shared" si="0"/>
        <v>0.714905225390848</v>
      </c>
      <c r="P15" s="9">
        <f t="shared" si="5"/>
        <v>59.906059408816617</v>
      </c>
      <c r="Q15" s="7">
        <f t="shared" si="1"/>
        <v>0.17340380581027287</v>
      </c>
      <c r="R15" s="9">
        <f t="shared" si="2"/>
        <v>5.4545672812657134E-3</v>
      </c>
      <c r="V15">
        <v>63986</v>
      </c>
      <c r="W15">
        <v>-7872</v>
      </c>
      <c r="Y15">
        <v>24794</v>
      </c>
      <c r="Z15">
        <v>-28866</v>
      </c>
      <c r="AB15">
        <v>53660</v>
      </c>
      <c r="AC15">
        <v>-34427</v>
      </c>
    </row>
    <row r="16" spans="1:29" x14ac:dyDescent="0.3">
      <c r="A16" t="s">
        <v>26</v>
      </c>
      <c r="B16" t="s">
        <v>512</v>
      </c>
      <c r="C16">
        <v>2020</v>
      </c>
      <c r="D16" s="2">
        <v>139135</v>
      </c>
      <c r="E16" s="2">
        <v>45222</v>
      </c>
      <c r="F16" s="2">
        <v>93913</v>
      </c>
      <c r="G16" s="2">
        <v>191286</v>
      </c>
      <c r="H16" s="2">
        <v>94575</v>
      </c>
      <c r="I16" s="2">
        <v>96711</v>
      </c>
      <c r="J16" s="2">
        <v>83746</v>
      </c>
      <c r="K16" s="2">
        <v>7121690</v>
      </c>
      <c r="L16" s="2">
        <v>14380258</v>
      </c>
      <c r="M16" s="2">
        <f t="shared" si="3"/>
        <v>27827</v>
      </c>
      <c r="N16" s="2">
        <f t="shared" si="4"/>
        <v>18782.599999999999</v>
      </c>
      <c r="O16" s="7">
        <f t="shared" si="0"/>
        <v>0.43780517131415786</v>
      </c>
      <c r="P16" s="9">
        <f t="shared" si="5"/>
        <v>201.92198761810749</v>
      </c>
      <c r="Q16" s="7">
        <f t="shared" si="1"/>
        <v>0.49441673724161728</v>
      </c>
      <c r="R16" s="9">
        <f t="shared" si="2"/>
        <v>1.3186898053692312E-2</v>
      </c>
      <c r="V16">
        <v>154488</v>
      </c>
      <c r="W16">
        <v>92237</v>
      </c>
      <c r="Y16">
        <v>134899</v>
      </c>
      <c r="Z16">
        <v>111507</v>
      </c>
      <c r="AB16">
        <v>23392</v>
      </c>
      <c r="AC16">
        <v>96440</v>
      </c>
    </row>
    <row r="17" spans="1:29" x14ac:dyDescent="0.3">
      <c r="A17" t="s">
        <v>27</v>
      </c>
      <c r="B17" t="s">
        <v>512</v>
      </c>
      <c r="C17">
        <v>2020</v>
      </c>
      <c r="D17" s="2">
        <v>163252</v>
      </c>
      <c r="E17" s="2">
        <v>18110</v>
      </c>
      <c r="F17" s="2">
        <v>145142</v>
      </c>
      <c r="G17" s="2">
        <v>244451</v>
      </c>
      <c r="H17" s="2">
        <v>42266</v>
      </c>
      <c r="I17" s="2">
        <v>202185</v>
      </c>
      <c r="J17" s="2">
        <v>182773</v>
      </c>
      <c r="K17" s="2">
        <v>16525337</v>
      </c>
      <c r="L17" s="2">
        <v>9914550</v>
      </c>
      <c r="M17" s="2">
        <f t="shared" si="3"/>
        <v>32650.400000000001</v>
      </c>
      <c r="N17" s="2">
        <f t="shared" si="4"/>
        <v>29028.400000000001</v>
      </c>
      <c r="O17" s="7">
        <f t="shared" si="0"/>
        <v>0.74768767564869854</v>
      </c>
      <c r="P17" s="9">
        <f t="shared" si="5"/>
        <v>59.99605333313324</v>
      </c>
      <c r="Q17" s="7">
        <f t="shared" si="1"/>
        <v>0.1729017267264196</v>
      </c>
      <c r="R17" s="9">
        <f t="shared" si="2"/>
        <v>8.7829978898463605E-3</v>
      </c>
      <c r="V17">
        <v>139135</v>
      </c>
      <c r="W17">
        <v>93913</v>
      </c>
      <c r="Y17">
        <v>191286</v>
      </c>
      <c r="Z17">
        <v>96711</v>
      </c>
      <c r="AB17">
        <v>94575</v>
      </c>
      <c r="AC17">
        <v>83746</v>
      </c>
    </row>
    <row r="18" spans="1:29" x14ac:dyDescent="0.3">
      <c r="A18" t="s">
        <v>28</v>
      </c>
      <c r="B18" t="s">
        <v>512</v>
      </c>
      <c r="C18">
        <v>2020</v>
      </c>
      <c r="D18" s="2">
        <v>187982</v>
      </c>
      <c r="E18" s="2">
        <v>10206</v>
      </c>
      <c r="F18" s="2">
        <v>177776</v>
      </c>
      <c r="G18" s="2">
        <v>284830</v>
      </c>
      <c r="H18" s="2">
        <v>38419</v>
      </c>
      <c r="I18" s="2">
        <v>246411</v>
      </c>
      <c r="J18" s="2">
        <v>226543</v>
      </c>
      <c r="K18" s="2">
        <v>15739378</v>
      </c>
      <c r="L18" s="2">
        <v>3769598</v>
      </c>
      <c r="M18" s="2">
        <f t="shared" si="3"/>
        <v>37596.400000000001</v>
      </c>
      <c r="N18" s="2">
        <f t="shared" si="4"/>
        <v>35555.199999999997</v>
      </c>
      <c r="O18" s="7">
        <f t="shared" si="0"/>
        <v>0.7953621458413791</v>
      </c>
      <c r="P18" s="9">
        <f t="shared" si="5"/>
        <v>23.950107812392588</v>
      </c>
      <c r="Q18" s="7">
        <f t="shared" si="1"/>
        <v>0.1348839658743812</v>
      </c>
      <c r="R18" s="9">
        <f t="shared" si="2"/>
        <v>1.129498255903124E-2</v>
      </c>
      <c r="V18">
        <v>163252</v>
      </c>
      <c r="W18">
        <v>145142</v>
      </c>
      <c r="Y18">
        <v>244451</v>
      </c>
      <c r="Z18">
        <v>202185</v>
      </c>
      <c r="AB18">
        <v>42266</v>
      </c>
      <c r="AC18">
        <v>182773</v>
      </c>
    </row>
    <row r="19" spans="1:29" x14ac:dyDescent="0.3">
      <c r="A19" t="s">
        <v>29</v>
      </c>
      <c r="B19" t="s">
        <v>512</v>
      </c>
      <c r="C19">
        <v>2020</v>
      </c>
      <c r="D19" s="2">
        <v>100015</v>
      </c>
      <c r="E19" s="2">
        <v>64268</v>
      </c>
      <c r="F19" s="2">
        <v>35747</v>
      </c>
      <c r="G19" s="2">
        <v>143686</v>
      </c>
      <c r="H19" s="2">
        <v>33141</v>
      </c>
      <c r="I19" s="2">
        <v>110545</v>
      </c>
      <c r="J19" s="2">
        <v>93725</v>
      </c>
      <c r="K19" s="2">
        <v>18737366</v>
      </c>
      <c r="L19" s="2">
        <v>3973548</v>
      </c>
      <c r="M19" s="2">
        <f t="shared" si="3"/>
        <v>20003</v>
      </c>
      <c r="N19" s="2">
        <f t="shared" si="4"/>
        <v>7149.4</v>
      </c>
      <c r="O19" s="7">
        <f t="shared" si="0"/>
        <v>0.65229041103517393</v>
      </c>
      <c r="P19" s="9">
        <f t="shared" si="5"/>
        <v>21.206545252945372</v>
      </c>
      <c r="Q19" s="7">
        <f t="shared" si="1"/>
        <v>0.23064877580279219</v>
      </c>
      <c r="R19" s="9">
        <f t="shared" si="2"/>
        <v>1.907792162462963E-3</v>
      </c>
      <c r="V19">
        <v>187982</v>
      </c>
      <c r="W19">
        <v>177776</v>
      </c>
      <c r="Y19">
        <v>284830</v>
      </c>
      <c r="Z19">
        <v>246411</v>
      </c>
      <c r="AB19">
        <v>38419</v>
      </c>
      <c r="AC19">
        <v>226543</v>
      </c>
    </row>
    <row r="20" spans="1:29" x14ac:dyDescent="0.3">
      <c r="A20" t="s">
        <v>30</v>
      </c>
      <c r="B20" t="s">
        <v>512</v>
      </c>
      <c r="C20">
        <v>2020</v>
      </c>
      <c r="D20" s="2">
        <v>112623</v>
      </c>
      <c r="E20" s="2">
        <v>32299</v>
      </c>
      <c r="F20" s="2">
        <v>80324</v>
      </c>
      <c r="G20" s="2">
        <v>143909</v>
      </c>
      <c r="H20" s="2">
        <v>79044</v>
      </c>
      <c r="I20" s="2">
        <v>64865</v>
      </c>
      <c r="J20" s="2">
        <v>53076</v>
      </c>
      <c r="K20" s="2">
        <v>7539448</v>
      </c>
      <c r="L20" s="2">
        <v>3109556</v>
      </c>
      <c r="M20" s="2">
        <f t="shared" si="3"/>
        <v>22524.6</v>
      </c>
      <c r="N20" s="2">
        <f t="shared" si="4"/>
        <v>16064.8</v>
      </c>
      <c r="O20" s="7">
        <f t="shared" si="0"/>
        <v>0.36881640481137384</v>
      </c>
      <c r="P20" s="9">
        <f t="shared" si="5"/>
        <v>41.243815197080743</v>
      </c>
      <c r="Q20" s="7">
        <f t="shared" si="1"/>
        <v>0.54926377085519318</v>
      </c>
      <c r="R20" s="9">
        <f t="shared" si="2"/>
        <v>1.0653830359994525E-2</v>
      </c>
      <c r="V20">
        <v>100015</v>
      </c>
      <c r="W20">
        <v>35747</v>
      </c>
      <c r="Y20">
        <v>143686</v>
      </c>
      <c r="Z20">
        <v>110545</v>
      </c>
      <c r="AB20">
        <v>33141</v>
      </c>
      <c r="AC20">
        <v>93725</v>
      </c>
    </row>
    <row r="21" spans="1:29" x14ac:dyDescent="0.3">
      <c r="A21" t="s">
        <v>31</v>
      </c>
      <c r="B21" t="s">
        <v>512</v>
      </c>
      <c r="C21">
        <v>2020</v>
      </c>
      <c r="D21" s="2">
        <v>52693</v>
      </c>
      <c r="E21" s="2">
        <v>79163</v>
      </c>
      <c r="F21" s="2">
        <v>-26470</v>
      </c>
      <c r="G21" s="2">
        <v>19469</v>
      </c>
      <c r="H21" s="2">
        <v>63925</v>
      </c>
      <c r="I21" s="2">
        <v>-44456</v>
      </c>
      <c r="J21" s="2">
        <v>-56629</v>
      </c>
      <c r="K21" s="2">
        <v>6201482</v>
      </c>
      <c r="L21" s="2">
        <v>3542335</v>
      </c>
      <c r="M21" s="2">
        <f t="shared" si="3"/>
        <v>10538.6</v>
      </c>
      <c r="N21" s="2">
        <f t="shared" si="4"/>
        <v>-5294</v>
      </c>
      <c r="O21" s="7">
        <f t="shared" si="0"/>
        <v>-2.9086753300118136</v>
      </c>
      <c r="P21" s="9">
        <f t="shared" si="5"/>
        <v>57.120781774421012</v>
      </c>
      <c r="Q21" s="7">
        <f t="shared" si="1"/>
        <v>3.283424931943089</v>
      </c>
      <c r="R21" s="9">
        <f t="shared" si="2"/>
        <v>-4.2683345690594605E-3</v>
      </c>
      <c r="V21">
        <v>112623</v>
      </c>
      <c r="W21">
        <v>80324</v>
      </c>
      <c r="Y21">
        <v>143909</v>
      </c>
      <c r="Z21">
        <v>64865</v>
      </c>
      <c r="AB21">
        <v>79044</v>
      </c>
      <c r="AC21">
        <v>53076</v>
      </c>
    </row>
    <row r="22" spans="1:29" x14ac:dyDescent="0.3">
      <c r="A22" t="s">
        <v>32</v>
      </c>
      <c r="B22" t="s">
        <v>512</v>
      </c>
      <c r="C22">
        <v>2021</v>
      </c>
      <c r="D22" s="2">
        <v>76105</v>
      </c>
      <c r="E22" s="2">
        <v>25707</v>
      </c>
      <c r="F22" s="2">
        <v>50398</v>
      </c>
      <c r="G22" s="2">
        <v>92374</v>
      </c>
      <c r="H22" s="2">
        <v>59262</v>
      </c>
      <c r="I22" s="2">
        <v>33112</v>
      </c>
      <c r="J22" s="2">
        <v>29806</v>
      </c>
      <c r="K22" s="2">
        <v>10697469</v>
      </c>
      <c r="L22" s="2">
        <v>5235000</v>
      </c>
      <c r="M22" s="2">
        <f t="shared" si="3"/>
        <v>15221</v>
      </c>
      <c r="N22" s="2">
        <f t="shared" si="4"/>
        <v>10079.6</v>
      </c>
      <c r="O22" s="7">
        <f t="shared" si="0"/>
        <v>0.32266655119405896</v>
      </c>
      <c r="P22" s="9">
        <f t="shared" si="5"/>
        <v>48.936809258339522</v>
      </c>
      <c r="Q22" s="7">
        <f t="shared" si="1"/>
        <v>0.64154415744690063</v>
      </c>
      <c r="R22" s="9">
        <f t="shared" si="2"/>
        <v>4.7112078567369533E-3</v>
      </c>
      <c r="V22">
        <v>52693</v>
      </c>
      <c r="W22">
        <v>-26470</v>
      </c>
      <c r="Y22">
        <v>19469</v>
      </c>
      <c r="Z22">
        <v>-44456</v>
      </c>
      <c r="AB22">
        <v>63925</v>
      </c>
      <c r="AC22">
        <v>-56629</v>
      </c>
    </row>
    <row r="23" spans="1:29" x14ac:dyDescent="0.3">
      <c r="A23" t="s">
        <v>33</v>
      </c>
      <c r="B23" t="s">
        <v>512</v>
      </c>
      <c r="C23">
        <v>2021</v>
      </c>
      <c r="D23" s="2">
        <v>142787</v>
      </c>
      <c r="E23" s="2">
        <v>65016</v>
      </c>
      <c r="F23" s="2">
        <v>77771</v>
      </c>
      <c r="G23" s="2">
        <v>107245</v>
      </c>
      <c r="H23" s="2">
        <v>73053</v>
      </c>
      <c r="I23" s="2">
        <v>34192</v>
      </c>
      <c r="J23" s="2">
        <v>26662</v>
      </c>
      <c r="K23" s="2">
        <v>19381704</v>
      </c>
      <c r="L23" s="2">
        <v>4954109</v>
      </c>
      <c r="M23" s="2">
        <f t="shared" si="3"/>
        <v>28557.4</v>
      </c>
      <c r="N23" s="2">
        <f t="shared" si="4"/>
        <v>15554.2</v>
      </c>
      <c r="O23" s="7">
        <f t="shared" si="0"/>
        <v>0.24860832672851882</v>
      </c>
      <c r="P23" s="9">
        <f t="shared" si="5"/>
        <v>25.560750489224272</v>
      </c>
      <c r="Q23" s="7">
        <f t="shared" si="1"/>
        <v>0.68117860972539512</v>
      </c>
      <c r="R23" s="9">
        <f t="shared" si="2"/>
        <v>4.012598685853421E-3</v>
      </c>
      <c r="V23">
        <v>76105</v>
      </c>
      <c r="W23">
        <v>50398</v>
      </c>
      <c r="Y23">
        <v>92374</v>
      </c>
      <c r="Z23">
        <v>33112</v>
      </c>
      <c r="AB23">
        <v>59262</v>
      </c>
      <c r="AC23">
        <v>29806</v>
      </c>
    </row>
    <row r="24" spans="1:29" x14ac:dyDescent="0.3">
      <c r="A24" t="s">
        <v>34</v>
      </c>
      <c r="B24" t="s">
        <v>512</v>
      </c>
      <c r="C24">
        <v>2021</v>
      </c>
      <c r="D24" s="2">
        <v>53748</v>
      </c>
      <c r="E24" s="2">
        <v>23545</v>
      </c>
      <c r="F24" s="2">
        <v>30203</v>
      </c>
      <c r="G24" s="2">
        <v>116402</v>
      </c>
      <c r="H24" s="2">
        <v>49766</v>
      </c>
      <c r="I24" s="2">
        <v>66636</v>
      </c>
      <c r="J24" s="2">
        <v>56642</v>
      </c>
      <c r="K24" s="2">
        <v>17414325</v>
      </c>
      <c r="L24" s="2">
        <v>3061087</v>
      </c>
      <c r="M24" s="2">
        <f t="shared" si="3"/>
        <v>10749.6</v>
      </c>
      <c r="N24" s="2">
        <f t="shared" si="4"/>
        <v>6040.6</v>
      </c>
      <c r="O24" s="7">
        <f t="shared" si="0"/>
        <v>0.48660675933403208</v>
      </c>
      <c r="P24" s="9">
        <f t="shared" si="5"/>
        <v>17.577982494297082</v>
      </c>
      <c r="Q24" s="7">
        <f t="shared" si="1"/>
        <v>0.42753560935379115</v>
      </c>
      <c r="R24" s="9">
        <f t="shared" si="2"/>
        <v>1.7343767272059065E-3</v>
      </c>
      <c r="V24">
        <v>142787</v>
      </c>
      <c r="W24">
        <v>77771</v>
      </c>
      <c r="Y24">
        <v>107245</v>
      </c>
      <c r="Z24">
        <v>34192</v>
      </c>
      <c r="AB24">
        <v>73053</v>
      </c>
      <c r="AC24">
        <v>26662</v>
      </c>
    </row>
    <row r="25" spans="1:29" x14ac:dyDescent="0.3">
      <c r="A25" t="s">
        <v>35</v>
      </c>
      <c r="B25" t="s">
        <v>512</v>
      </c>
      <c r="C25">
        <v>2021</v>
      </c>
      <c r="D25" s="2">
        <v>118840</v>
      </c>
      <c r="E25" s="2">
        <v>64384</v>
      </c>
      <c r="F25" s="2">
        <v>54456</v>
      </c>
      <c r="G25" s="2">
        <v>125461</v>
      </c>
      <c r="H25" s="2">
        <v>61576</v>
      </c>
      <c r="I25" s="2">
        <v>63885</v>
      </c>
      <c r="J25" s="2">
        <v>55300</v>
      </c>
      <c r="K25" s="2">
        <v>11484531</v>
      </c>
      <c r="L25" s="2">
        <v>6360011</v>
      </c>
      <c r="M25" s="2">
        <f t="shared" si="3"/>
        <v>23768</v>
      </c>
      <c r="N25" s="2">
        <f t="shared" si="4"/>
        <v>10891.2</v>
      </c>
      <c r="O25" s="7">
        <f t="shared" si="0"/>
        <v>0.44077442392456617</v>
      </c>
      <c r="P25" s="9">
        <f t="shared" si="5"/>
        <v>55.378935369672476</v>
      </c>
      <c r="Q25" s="7">
        <f t="shared" si="1"/>
        <v>0.49079793720757847</v>
      </c>
      <c r="R25" s="9">
        <f t="shared" si="2"/>
        <v>4.7416825293083364E-3</v>
      </c>
      <c r="V25">
        <v>53748</v>
      </c>
      <c r="W25">
        <v>30203</v>
      </c>
      <c r="Y25">
        <v>116402</v>
      </c>
      <c r="Z25">
        <v>66636</v>
      </c>
      <c r="AB25">
        <v>49766</v>
      </c>
      <c r="AC25">
        <v>56642</v>
      </c>
    </row>
    <row r="26" spans="1:29" x14ac:dyDescent="0.3">
      <c r="A26" t="s">
        <v>36</v>
      </c>
      <c r="B26" t="s">
        <v>512</v>
      </c>
      <c r="C26">
        <v>2021</v>
      </c>
      <c r="D26" s="2">
        <v>102733</v>
      </c>
      <c r="E26" s="2">
        <v>75318</v>
      </c>
      <c r="F26" s="2">
        <v>27415</v>
      </c>
      <c r="G26" s="2">
        <v>136889</v>
      </c>
      <c r="H26" s="2">
        <v>38664</v>
      </c>
      <c r="I26" s="2">
        <v>98225</v>
      </c>
      <c r="J26" s="2">
        <v>94589</v>
      </c>
      <c r="K26" s="2">
        <v>12072695</v>
      </c>
      <c r="L26" s="2">
        <v>10433296</v>
      </c>
      <c r="M26" s="2">
        <f t="shared" si="3"/>
        <v>20546.599999999999</v>
      </c>
      <c r="N26" s="2">
        <f t="shared" si="4"/>
        <v>5483</v>
      </c>
      <c r="O26" s="7">
        <f t="shared" si="0"/>
        <v>0.69099051055965055</v>
      </c>
      <c r="P26" s="9">
        <f t="shared" si="5"/>
        <v>86.420604512911154</v>
      </c>
      <c r="Q26" s="7">
        <f t="shared" si="1"/>
        <v>0.28244782268845559</v>
      </c>
      <c r="R26" s="9">
        <f t="shared" si="2"/>
        <v>2.2708268534904594E-3</v>
      </c>
      <c r="V26">
        <v>118840</v>
      </c>
      <c r="W26">
        <v>54456</v>
      </c>
      <c r="Y26">
        <v>125461</v>
      </c>
      <c r="Z26">
        <v>63885</v>
      </c>
      <c r="AB26">
        <v>61576</v>
      </c>
      <c r="AC26">
        <v>55300</v>
      </c>
    </row>
    <row r="27" spans="1:29" x14ac:dyDescent="0.3">
      <c r="A27" t="s">
        <v>37</v>
      </c>
      <c r="B27" t="s">
        <v>512</v>
      </c>
      <c r="C27">
        <v>2021</v>
      </c>
      <c r="D27" s="2">
        <v>76736</v>
      </c>
      <c r="E27" s="2">
        <v>10854</v>
      </c>
      <c r="F27" s="2">
        <v>65882</v>
      </c>
      <c r="G27" s="2">
        <v>175966</v>
      </c>
      <c r="H27" s="2">
        <v>53623</v>
      </c>
      <c r="I27" s="2">
        <v>122343</v>
      </c>
      <c r="J27" s="2">
        <v>112951</v>
      </c>
      <c r="K27" s="2">
        <v>11609280</v>
      </c>
      <c r="L27" s="2">
        <v>8500306</v>
      </c>
      <c r="M27" s="2">
        <f t="shared" si="3"/>
        <v>15347.2</v>
      </c>
      <c r="N27" s="2">
        <f t="shared" si="4"/>
        <v>13176.4</v>
      </c>
      <c r="O27" s="7">
        <f t="shared" si="0"/>
        <v>0.6418910471341055</v>
      </c>
      <c r="P27" s="9">
        <f t="shared" si="5"/>
        <v>73.219924060751396</v>
      </c>
      <c r="Q27" s="7">
        <f t="shared" si="1"/>
        <v>0.30473500562608685</v>
      </c>
      <c r="R27" s="9">
        <f t="shared" si="2"/>
        <v>5.6749428043771878E-3</v>
      </c>
      <c r="V27">
        <v>102733</v>
      </c>
      <c r="W27">
        <v>27415</v>
      </c>
      <c r="Y27">
        <v>136889</v>
      </c>
      <c r="Z27">
        <v>98225</v>
      </c>
      <c r="AB27">
        <v>38664</v>
      </c>
      <c r="AC27">
        <v>94589</v>
      </c>
    </row>
    <row r="28" spans="1:29" x14ac:dyDescent="0.3">
      <c r="A28" t="s">
        <v>38</v>
      </c>
      <c r="B28" t="s">
        <v>512</v>
      </c>
      <c r="C28">
        <v>2021</v>
      </c>
      <c r="D28" s="2">
        <v>100859</v>
      </c>
      <c r="E28" s="2">
        <v>36309</v>
      </c>
      <c r="F28" s="2">
        <v>64550</v>
      </c>
      <c r="G28" s="2">
        <v>172005</v>
      </c>
      <c r="H28" s="2">
        <v>78734</v>
      </c>
      <c r="I28" s="2">
        <v>93271</v>
      </c>
      <c r="J28" s="2">
        <v>86340</v>
      </c>
      <c r="K28" s="2">
        <v>16718070</v>
      </c>
      <c r="L28" s="2">
        <v>13595511</v>
      </c>
      <c r="M28" s="2">
        <f t="shared" si="3"/>
        <v>20171.8</v>
      </c>
      <c r="N28" s="2">
        <f t="shared" si="4"/>
        <v>12910</v>
      </c>
      <c r="O28" s="7">
        <f t="shared" si="0"/>
        <v>0.50196215226301566</v>
      </c>
      <c r="P28" s="9">
        <f t="shared" si="5"/>
        <v>81.322251910657144</v>
      </c>
      <c r="Q28" s="7">
        <f t="shared" si="1"/>
        <v>0.45774250748524753</v>
      </c>
      <c r="R28" s="9">
        <f t="shared" si="2"/>
        <v>3.8610916212218275E-3</v>
      </c>
      <c r="V28">
        <v>76736</v>
      </c>
      <c r="W28">
        <v>65882</v>
      </c>
      <c r="Y28">
        <v>175966</v>
      </c>
      <c r="Z28">
        <v>122343</v>
      </c>
      <c r="AB28">
        <v>53623</v>
      </c>
      <c r="AC28">
        <v>112951</v>
      </c>
    </row>
    <row r="29" spans="1:29" x14ac:dyDescent="0.3">
      <c r="A29" t="s">
        <v>39</v>
      </c>
      <c r="B29" t="s">
        <v>512</v>
      </c>
      <c r="C29">
        <v>2021</v>
      </c>
      <c r="D29" s="2">
        <v>168906</v>
      </c>
      <c r="E29" s="2">
        <v>22688</v>
      </c>
      <c r="F29" s="2">
        <v>146218</v>
      </c>
      <c r="G29" s="2">
        <v>191560</v>
      </c>
      <c r="H29" s="2">
        <v>52157</v>
      </c>
      <c r="I29" s="2">
        <v>139403</v>
      </c>
      <c r="J29" s="2">
        <v>135076</v>
      </c>
      <c r="K29" s="2">
        <v>11659908</v>
      </c>
      <c r="L29" s="2">
        <v>6080389</v>
      </c>
      <c r="M29" s="2">
        <f t="shared" si="3"/>
        <v>33781.199999999997</v>
      </c>
      <c r="N29" s="2">
        <f t="shared" si="4"/>
        <v>29243.599999999999</v>
      </c>
      <c r="O29" s="7">
        <f t="shared" si="0"/>
        <v>0.70513677176863643</v>
      </c>
      <c r="P29" s="9">
        <f t="shared" si="5"/>
        <v>52.147829982878079</v>
      </c>
      <c r="Q29" s="7">
        <f t="shared" si="1"/>
        <v>0.27227500522029652</v>
      </c>
      <c r="R29" s="9">
        <f t="shared" si="2"/>
        <v>1.2540236166528929E-2</v>
      </c>
      <c r="V29">
        <v>100859</v>
      </c>
      <c r="W29">
        <v>64550</v>
      </c>
      <c r="Y29">
        <v>172005</v>
      </c>
      <c r="Z29">
        <v>93271</v>
      </c>
      <c r="AB29">
        <v>78734</v>
      </c>
      <c r="AC29">
        <v>86340</v>
      </c>
    </row>
    <row r="30" spans="1:29" x14ac:dyDescent="0.3">
      <c r="A30" t="s">
        <v>40</v>
      </c>
      <c r="B30" t="s">
        <v>512</v>
      </c>
      <c r="C30">
        <v>2021</v>
      </c>
      <c r="D30" s="2">
        <v>139045</v>
      </c>
      <c r="E30" s="2">
        <v>44698</v>
      </c>
      <c r="F30" s="2">
        <v>94347</v>
      </c>
      <c r="G30" s="2">
        <v>194970</v>
      </c>
      <c r="H30" s="2">
        <v>37671</v>
      </c>
      <c r="I30" s="2">
        <v>157299</v>
      </c>
      <c r="J30" s="2">
        <v>145960</v>
      </c>
      <c r="K30" s="2">
        <v>6659066</v>
      </c>
      <c r="L30" s="2">
        <v>5148815</v>
      </c>
      <c r="M30" s="2">
        <f t="shared" si="3"/>
        <v>27809</v>
      </c>
      <c r="N30" s="2">
        <f t="shared" si="4"/>
        <v>18869.400000000001</v>
      </c>
      <c r="O30" s="7">
        <f t="shared" si="0"/>
        <v>0.74862799405036673</v>
      </c>
      <c r="P30" s="9">
        <f t="shared" si="5"/>
        <v>77.320377962915515</v>
      </c>
      <c r="Q30" s="7">
        <f t="shared" si="1"/>
        <v>0.19321434066779505</v>
      </c>
      <c r="R30" s="9">
        <f t="shared" si="2"/>
        <v>1.416820316843233E-2</v>
      </c>
      <c r="V30">
        <v>168906</v>
      </c>
      <c r="W30">
        <v>146218</v>
      </c>
      <c r="Y30">
        <v>191560</v>
      </c>
      <c r="Z30">
        <v>139403</v>
      </c>
      <c r="AB30">
        <v>52157</v>
      </c>
      <c r="AC30">
        <v>135076</v>
      </c>
    </row>
    <row r="31" spans="1:29" x14ac:dyDescent="0.3">
      <c r="A31" t="s">
        <v>41</v>
      </c>
      <c r="B31" t="s">
        <v>512</v>
      </c>
      <c r="C31">
        <v>2021</v>
      </c>
      <c r="D31" s="2">
        <v>65708</v>
      </c>
      <c r="E31" s="2">
        <v>59811</v>
      </c>
      <c r="F31" s="2">
        <v>5897</v>
      </c>
      <c r="G31" s="2">
        <v>28708</v>
      </c>
      <c r="H31" s="2">
        <v>71250</v>
      </c>
      <c r="I31" s="2">
        <v>-42542</v>
      </c>
      <c r="J31" s="2">
        <v>-58785</v>
      </c>
      <c r="K31" s="2">
        <v>9135314</v>
      </c>
      <c r="L31" s="2">
        <v>3910681</v>
      </c>
      <c r="M31" s="2">
        <f t="shared" si="3"/>
        <v>13141.6</v>
      </c>
      <c r="N31" s="2">
        <f t="shared" si="4"/>
        <v>1179.4000000000001</v>
      </c>
      <c r="O31" s="7">
        <f t="shared" si="0"/>
        <v>-2.0476870558729274</v>
      </c>
      <c r="P31" s="9">
        <f t="shared" si="5"/>
        <v>42.808391698413431</v>
      </c>
      <c r="Q31" s="7">
        <f t="shared" si="1"/>
        <v>2.4818865821373834</v>
      </c>
      <c r="R31" s="9">
        <f t="shared" si="2"/>
        <v>6.4551694665339365E-4</v>
      </c>
      <c r="V31">
        <v>139045</v>
      </c>
      <c r="W31">
        <v>94347</v>
      </c>
      <c r="Y31">
        <v>194970</v>
      </c>
      <c r="Z31">
        <v>157299</v>
      </c>
      <c r="AB31">
        <v>37671</v>
      </c>
      <c r="AC31">
        <v>145960</v>
      </c>
    </row>
    <row r="32" spans="1:29" x14ac:dyDescent="0.3">
      <c r="A32" t="s">
        <v>42</v>
      </c>
      <c r="B32" t="s">
        <v>512</v>
      </c>
      <c r="C32">
        <v>2021</v>
      </c>
      <c r="D32" s="2">
        <v>84754</v>
      </c>
      <c r="E32" s="2">
        <v>21411</v>
      </c>
      <c r="F32" s="2">
        <v>63343</v>
      </c>
      <c r="G32" s="2">
        <v>86254</v>
      </c>
      <c r="H32" s="2">
        <v>82270</v>
      </c>
      <c r="I32" s="2">
        <v>3984</v>
      </c>
      <c r="J32" s="2">
        <v>-6696</v>
      </c>
      <c r="K32" s="2">
        <v>19764960</v>
      </c>
      <c r="L32" s="2">
        <v>3071295</v>
      </c>
      <c r="M32" s="2">
        <f t="shared" si="3"/>
        <v>16950.8</v>
      </c>
      <c r="N32" s="2">
        <f t="shared" si="4"/>
        <v>12668.6</v>
      </c>
      <c r="O32" s="7">
        <f t="shared" si="0"/>
        <v>-7.763118232197927E-2</v>
      </c>
      <c r="P32" s="9">
        <f t="shared" si="5"/>
        <v>15.539090390266411</v>
      </c>
      <c r="Q32" s="7">
        <f t="shared" si="1"/>
        <v>0.95381083775824893</v>
      </c>
      <c r="R32" s="9">
        <f t="shared" si="2"/>
        <v>3.2048129619285846E-3</v>
      </c>
      <c r="V32">
        <v>65708</v>
      </c>
      <c r="W32">
        <v>5897</v>
      </c>
      <c r="Y32">
        <v>28708</v>
      </c>
      <c r="Z32">
        <v>-42542</v>
      </c>
      <c r="AB32">
        <v>71250</v>
      </c>
      <c r="AC32">
        <v>-58785</v>
      </c>
    </row>
    <row r="33" spans="1:29" x14ac:dyDescent="0.3">
      <c r="A33" t="s">
        <v>43</v>
      </c>
      <c r="B33" t="s">
        <v>512</v>
      </c>
      <c r="C33">
        <v>2021</v>
      </c>
      <c r="D33" s="2">
        <v>150689</v>
      </c>
      <c r="E33" s="2">
        <v>21111</v>
      </c>
      <c r="F33" s="2">
        <v>129578</v>
      </c>
      <c r="G33" s="2">
        <v>187082</v>
      </c>
      <c r="H33" s="2">
        <v>16802</v>
      </c>
      <c r="I33" s="2">
        <v>170280</v>
      </c>
      <c r="J33" s="2">
        <v>160125</v>
      </c>
      <c r="K33" s="2">
        <v>8612600</v>
      </c>
      <c r="L33" s="2">
        <v>3825816</v>
      </c>
      <c r="M33" s="2">
        <f t="shared" si="3"/>
        <v>30137.8</v>
      </c>
      <c r="N33" s="2">
        <f t="shared" si="4"/>
        <v>25915.599999999999</v>
      </c>
      <c r="O33" s="7">
        <f t="shared" si="0"/>
        <v>0.85590810446755972</v>
      </c>
      <c r="P33" s="9">
        <f t="shared" si="5"/>
        <v>44.421150407542434</v>
      </c>
      <c r="Q33" s="7">
        <f t="shared" si="1"/>
        <v>8.9810885066441457E-2</v>
      </c>
      <c r="R33" s="9">
        <f t="shared" si="2"/>
        <v>1.5045166384134872E-2</v>
      </c>
      <c r="V33">
        <v>84754</v>
      </c>
      <c r="W33">
        <v>63343</v>
      </c>
      <c r="Y33">
        <v>86254</v>
      </c>
      <c r="Z33">
        <v>3984</v>
      </c>
      <c r="AB33">
        <v>82270</v>
      </c>
      <c r="AC33">
        <v>-6696</v>
      </c>
    </row>
    <row r="34" spans="1:29" x14ac:dyDescent="0.3">
      <c r="A34" t="s">
        <v>44</v>
      </c>
      <c r="B34" t="s">
        <v>512</v>
      </c>
      <c r="C34">
        <v>2021</v>
      </c>
      <c r="D34" s="2">
        <v>162561</v>
      </c>
      <c r="E34" s="2">
        <v>57254</v>
      </c>
      <c r="F34" s="2">
        <v>105307</v>
      </c>
      <c r="G34" s="2">
        <v>147225</v>
      </c>
      <c r="H34" s="2">
        <v>75713</v>
      </c>
      <c r="I34" s="2">
        <v>71512</v>
      </c>
      <c r="J34" s="2">
        <v>52866</v>
      </c>
      <c r="K34" s="2">
        <v>18228175</v>
      </c>
      <c r="L34" s="2">
        <v>6504473</v>
      </c>
      <c r="M34" s="2">
        <f t="shared" si="3"/>
        <v>32512.2</v>
      </c>
      <c r="N34" s="2">
        <f t="shared" si="4"/>
        <v>21061.4</v>
      </c>
      <c r="O34" s="7">
        <f t="shared" si="0"/>
        <v>0.3590830361691289</v>
      </c>
      <c r="P34" s="9">
        <f t="shared" si="5"/>
        <v>35.683621646160404</v>
      </c>
      <c r="Q34" s="7">
        <f t="shared" si="1"/>
        <v>0.51426727797588723</v>
      </c>
      <c r="R34" s="9">
        <f t="shared" si="2"/>
        <v>5.7771554201119972E-3</v>
      </c>
      <c r="V34">
        <v>150689</v>
      </c>
      <c r="W34">
        <v>129578</v>
      </c>
      <c r="Y34">
        <v>187082</v>
      </c>
      <c r="Z34">
        <v>170280</v>
      </c>
      <c r="AB34">
        <v>16802</v>
      </c>
      <c r="AC34">
        <v>160125</v>
      </c>
    </row>
    <row r="35" spans="1:29" x14ac:dyDescent="0.3">
      <c r="A35" t="s">
        <v>45</v>
      </c>
      <c r="B35" t="s">
        <v>512</v>
      </c>
      <c r="C35">
        <v>2021</v>
      </c>
      <c r="D35" s="2">
        <v>157512</v>
      </c>
      <c r="E35" s="2">
        <v>26371</v>
      </c>
      <c r="F35" s="2">
        <v>131141</v>
      </c>
      <c r="G35" s="2">
        <v>228512</v>
      </c>
      <c r="H35" s="2">
        <v>17049</v>
      </c>
      <c r="I35" s="2">
        <v>211463</v>
      </c>
      <c r="J35" s="2">
        <v>204040</v>
      </c>
      <c r="K35" s="2">
        <v>7472189</v>
      </c>
      <c r="L35" s="2">
        <v>14529867</v>
      </c>
      <c r="M35" s="2">
        <f t="shared" si="3"/>
        <v>31502.400000000001</v>
      </c>
      <c r="N35" s="2">
        <f t="shared" si="4"/>
        <v>26228.2</v>
      </c>
      <c r="O35" s="7">
        <f t="shared" si="0"/>
        <v>0.89290715586052372</v>
      </c>
      <c r="P35" s="9">
        <f t="shared" si="5"/>
        <v>194.45261622798887</v>
      </c>
      <c r="Q35" s="7">
        <f t="shared" si="1"/>
        <v>7.4608773281053073E-2</v>
      </c>
      <c r="R35" s="9">
        <f t="shared" si="2"/>
        <v>1.7550546432912765E-2</v>
      </c>
      <c r="V35">
        <v>162561</v>
      </c>
      <c r="W35">
        <v>105307</v>
      </c>
      <c r="Y35">
        <v>147225</v>
      </c>
      <c r="Z35">
        <v>71512</v>
      </c>
      <c r="AB35">
        <v>75713</v>
      </c>
      <c r="AC35">
        <v>52866</v>
      </c>
    </row>
    <row r="36" spans="1:29" x14ac:dyDescent="0.3">
      <c r="A36" t="s">
        <v>46</v>
      </c>
      <c r="B36" t="s">
        <v>512</v>
      </c>
      <c r="C36">
        <v>2021</v>
      </c>
      <c r="D36" s="2">
        <v>70932</v>
      </c>
      <c r="E36" s="2">
        <v>39855</v>
      </c>
      <c r="F36" s="2">
        <v>31077</v>
      </c>
      <c r="G36" s="2">
        <v>112511</v>
      </c>
      <c r="H36" s="2">
        <v>87694</v>
      </c>
      <c r="I36" s="2">
        <v>24817</v>
      </c>
      <c r="J36" s="2">
        <v>12569</v>
      </c>
      <c r="K36" s="2">
        <v>11561000</v>
      </c>
      <c r="L36" s="2">
        <v>9671458</v>
      </c>
      <c r="M36" s="2">
        <f t="shared" si="3"/>
        <v>14186.4</v>
      </c>
      <c r="N36" s="2">
        <f t="shared" si="4"/>
        <v>6215.4</v>
      </c>
      <c r="O36" s="7">
        <f t="shared" si="0"/>
        <v>0.11171352134457964</v>
      </c>
      <c r="P36" s="9">
        <f t="shared" si="5"/>
        <v>83.655894818787303</v>
      </c>
      <c r="Q36" s="7">
        <f t="shared" si="1"/>
        <v>0.77942601167885806</v>
      </c>
      <c r="R36" s="9">
        <f t="shared" si="2"/>
        <v>2.6880892656344609E-3</v>
      </c>
      <c r="V36">
        <v>157512</v>
      </c>
      <c r="W36">
        <v>131141</v>
      </c>
      <c r="Y36">
        <v>228512</v>
      </c>
      <c r="Z36">
        <v>211463</v>
      </c>
      <c r="AB36">
        <v>17049</v>
      </c>
      <c r="AC36">
        <v>204040</v>
      </c>
    </row>
    <row r="37" spans="1:29" x14ac:dyDescent="0.3">
      <c r="A37" t="s">
        <v>47</v>
      </c>
      <c r="B37" t="s">
        <v>512</v>
      </c>
      <c r="C37">
        <v>2021</v>
      </c>
      <c r="D37" s="2">
        <v>65151</v>
      </c>
      <c r="E37" s="2">
        <v>61407</v>
      </c>
      <c r="F37" s="2">
        <v>3744</v>
      </c>
      <c r="G37" s="2">
        <v>90434</v>
      </c>
      <c r="H37" s="2">
        <v>19499</v>
      </c>
      <c r="I37" s="2">
        <v>70935</v>
      </c>
      <c r="J37" s="2">
        <v>62640</v>
      </c>
      <c r="K37" s="2">
        <v>14295925</v>
      </c>
      <c r="L37" s="2">
        <v>13873975</v>
      </c>
      <c r="M37" s="2">
        <f t="shared" si="3"/>
        <v>13030.2</v>
      </c>
      <c r="N37" s="2">
        <f t="shared" si="4"/>
        <v>748.8</v>
      </c>
      <c r="O37" s="7">
        <f t="shared" si="0"/>
        <v>0.69265984032554129</v>
      </c>
      <c r="P37" s="9">
        <f t="shared" si="5"/>
        <v>97.048459613491261</v>
      </c>
      <c r="Q37" s="7">
        <f t="shared" si="1"/>
        <v>0.21561580821372492</v>
      </c>
      <c r="R37" s="9">
        <f t="shared" si="2"/>
        <v>2.6189281211254258E-4</v>
      </c>
      <c r="V37">
        <v>70932</v>
      </c>
      <c r="W37">
        <v>31077</v>
      </c>
      <c r="Y37">
        <v>112511</v>
      </c>
      <c r="Z37">
        <v>24817</v>
      </c>
      <c r="AB37">
        <v>87694</v>
      </c>
      <c r="AC37">
        <v>12569</v>
      </c>
    </row>
    <row r="38" spans="1:29" x14ac:dyDescent="0.3">
      <c r="A38" t="s">
        <v>48</v>
      </c>
      <c r="B38" t="s">
        <v>512</v>
      </c>
      <c r="C38">
        <v>2021</v>
      </c>
      <c r="D38" s="2">
        <v>109040</v>
      </c>
      <c r="E38" s="2">
        <v>22183</v>
      </c>
      <c r="F38" s="2">
        <v>86857</v>
      </c>
      <c r="G38" s="2">
        <v>136156</v>
      </c>
      <c r="H38" s="2">
        <v>27874</v>
      </c>
      <c r="I38" s="2">
        <v>108282</v>
      </c>
      <c r="J38" s="2">
        <v>100743</v>
      </c>
      <c r="K38" s="2">
        <v>5501157</v>
      </c>
      <c r="L38" s="2">
        <v>7378727</v>
      </c>
      <c r="M38" s="2">
        <f t="shared" si="3"/>
        <v>21808</v>
      </c>
      <c r="N38" s="2">
        <f t="shared" si="4"/>
        <v>17371.400000000001</v>
      </c>
      <c r="O38" s="7">
        <f t="shared" si="0"/>
        <v>0.73990863421369601</v>
      </c>
      <c r="P38" s="9">
        <f t="shared" si="5"/>
        <v>134.13045655668435</v>
      </c>
      <c r="Q38" s="7">
        <f t="shared" si="1"/>
        <v>0.20472105526014278</v>
      </c>
      <c r="R38" s="9">
        <f t="shared" si="2"/>
        <v>1.578886041609065E-2</v>
      </c>
      <c r="V38">
        <v>65151</v>
      </c>
      <c r="W38">
        <v>3744</v>
      </c>
      <c r="Y38">
        <v>90434</v>
      </c>
      <c r="Z38">
        <v>70935</v>
      </c>
      <c r="AB38">
        <v>19499</v>
      </c>
      <c r="AC38">
        <v>62640</v>
      </c>
    </row>
    <row r="39" spans="1:29" x14ac:dyDescent="0.3">
      <c r="A39" t="s">
        <v>49</v>
      </c>
      <c r="B39" t="s">
        <v>512</v>
      </c>
      <c r="C39">
        <v>2021</v>
      </c>
      <c r="D39" s="2">
        <v>176063</v>
      </c>
      <c r="E39" s="2">
        <v>12557</v>
      </c>
      <c r="F39" s="2">
        <v>163506</v>
      </c>
      <c r="G39" s="2">
        <v>221866</v>
      </c>
      <c r="H39" s="2">
        <v>97018</v>
      </c>
      <c r="I39" s="2">
        <v>124848</v>
      </c>
      <c r="J39" s="2">
        <v>120648</v>
      </c>
      <c r="K39" s="2">
        <v>9962140</v>
      </c>
      <c r="L39" s="2">
        <v>14471761</v>
      </c>
      <c r="M39" s="2">
        <f t="shared" si="3"/>
        <v>35212.6</v>
      </c>
      <c r="N39" s="2">
        <f t="shared" si="4"/>
        <v>32701.200000000001</v>
      </c>
      <c r="O39" s="7">
        <f t="shared" si="0"/>
        <v>0.54378769166974661</v>
      </c>
      <c r="P39" s="9">
        <f t="shared" si="5"/>
        <v>145.26759310750501</v>
      </c>
      <c r="Q39" s="7">
        <f t="shared" si="1"/>
        <v>0.4372819629866676</v>
      </c>
      <c r="R39" s="9">
        <f t="shared" si="2"/>
        <v>1.6412738628447301E-2</v>
      </c>
      <c r="V39">
        <v>109040</v>
      </c>
      <c r="W39">
        <v>86857</v>
      </c>
      <c r="Y39">
        <v>136156</v>
      </c>
      <c r="Z39">
        <v>108282</v>
      </c>
      <c r="AB39">
        <v>27874</v>
      </c>
      <c r="AC39">
        <v>100743</v>
      </c>
    </row>
    <row r="40" spans="1:29" x14ac:dyDescent="0.3">
      <c r="A40" t="s">
        <v>50</v>
      </c>
      <c r="B40" t="s">
        <v>512</v>
      </c>
      <c r="C40">
        <v>2021</v>
      </c>
      <c r="D40" s="2">
        <v>71357</v>
      </c>
      <c r="E40" s="2">
        <v>12869</v>
      </c>
      <c r="F40" s="2">
        <v>58488</v>
      </c>
      <c r="G40" s="2">
        <v>139623</v>
      </c>
      <c r="H40" s="2">
        <v>65108</v>
      </c>
      <c r="I40" s="2">
        <v>74515</v>
      </c>
      <c r="J40" s="2">
        <v>58523</v>
      </c>
      <c r="K40" s="2">
        <v>5618467</v>
      </c>
      <c r="L40" s="2">
        <v>8333152</v>
      </c>
      <c r="M40" s="2">
        <f t="shared" si="3"/>
        <v>14271.4</v>
      </c>
      <c r="N40" s="2">
        <f t="shared" si="4"/>
        <v>11697.6</v>
      </c>
      <c r="O40" s="7">
        <f t="shared" si="0"/>
        <v>0.41915014001991074</v>
      </c>
      <c r="P40" s="9">
        <f t="shared" si="5"/>
        <v>148.31718331708632</v>
      </c>
      <c r="Q40" s="7">
        <f t="shared" si="1"/>
        <v>0.46631285676428669</v>
      </c>
      <c r="R40" s="9">
        <f t="shared" si="2"/>
        <v>1.0409957022084493E-2</v>
      </c>
      <c r="V40">
        <v>176063</v>
      </c>
      <c r="W40">
        <v>163506</v>
      </c>
      <c r="Y40">
        <v>221866</v>
      </c>
      <c r="Z40">
        <v>124848</v>
      </c>
      <c r="AB40">
        <v>97018</v>
      </c>
      <c r="AC40">
        <v>120648</v>
      </c>
    </row>
    <row r="41" spans="1:29" x14ac:dyDescent="0.3">
      <c r="A41" t="s">
        <v>51</v>
      </c>
      <c r="B41" t="s">
        <v>512</v>
      </c>
      <c r="C41">
        <v>2021</v>
      </c>
      <c r="D41" s="2">
        <v>88467</v>
      </c>
      <c r="E41" s="2">
        <v>33328</v>
      </c>
      <c r="F41" s="2">
        <v>55139</v>
      </c>
      <c r="G41" s="2">
        <v>166551</v>
      </c>
      <c r="H41" s="2">
        <v>18987</v>
      </c>
      <c r="I41" s="2">
        <v>147564</v>
      </c>
      <c r="J41" s="2">
        <v>132118</v>
      </c>
      <c r="K41" s="2">
        <v>14405634</v>
      </c>
      <c r="L41" s="2">
        <v>8853584</v>
      </c>
      <c r="M41" s="2">
        <f t="shared" si="3"/>
        <v>17693.400000000001</v>
      </c>
      <c r="N41" s="2">
        <f t="shared" si="4"/>
        <v>11027.8</v>
      </c>
      <c r="O41" s="7">
        <f t="shared" si="0"/>
        <v>0.79325852141386122</v>
      </c>
      <c r="P41" s="9">
        <f t="shared" si="5"/>
        <v>61.45917631948722</v>
      </c>
      <c r="Q41" s="7">
        <f t="shared" si="1"/>
        <v>0.11400111677504188</v>
      </c>
      <c r="R41" s="9">
        <f t="shared" si="2"/>
        <v>3.8275996738498285E-3</v>
      </c>
      <c r="V41">
        <v>71357</v>
      </c>
      <c r="W41">
        <v>58488</v>
      </c>
      <c r="Y41">
        <v>139623</v>
      </c>
      <c r="Z41">
        <v>74515</v>
      </c>
      <c r="AB41">
        <v>65108</v>
      </c>
      <c r="AC41">
        <v>58523</v>
      </c>
    </row>
    <row r="42" spans="1:29" x14ac:dyDescent="0.3">
      <c r="A42" t="s">
        <v>52</v>
      </c>
      <c r="B42" t="s">
        <v>512</v>
      </c>
      <c r="C42">
        <v>2022</v>
      </c>
      <c r="D42" s="2">
        <v>120271</v>
      </c>
      <c r="E42" s="2">
        <v>54064</v>
      </c>
      <c r="F42" s="2">
        <v>66207</v>
      </c>
      <c r="G42" s="2">
        <v>156298</v>
      </c>
      <c r="H42" s="2">
        <v>55818</v>
      </c>
      <c r="I42" s="2">
        <v>100480</v>
      </c>
      <c r="J42" s="2">
        <v>85723</v>
      </c>
      <c r="K42" s="2">
        <v>19962038</v>
      </c>
      <c r="L42" s="2">
        <v>4983509</v>
      </c>
      <c r="M42" s="2">
        <f t="shared" si="3"/>
        <v>24054.2</v>
      </c>
      <c r="N42" s="2">
        <f t="shared" si="4"/>
        <v>13241.4</v>
      </c>
      <c r="O42" s="7">
        <f t="shared" si="0"/>
        <v>0.54845871348321795</v>
      </c>
      <c r="P42" s="9">
        <f t="shared" si="5"/>
        <v>24.9649309354085</v>
      </c>
      <c r="Q42" s="7">
        <f t="shared" si="1"/>
        <v>0.3571254910491497</v>
      </c>
      <c r="R42" s="9">
        <f t="shared" si="2"/>
        <v>3.3166453244904155E-3</v>
      </c>
      <c r="V42">
        <v>88467</v>
      </c>
      <c r="W42">
        <v>115981</v>
      </c>
      <c r="Y42">
        <v>166551</v>
      </c>
      <c r="Z42">
        <v>147564</v>
      </c>
      <c r="AB42">
        <v>18987</v>
      </c>
      <c r="AC42">
        <v>132118</v>
      </c>
    </row>
    <row r="43" spans="1:29" x14ac:dyDescent="0.3">
      <c r="A43" t="s">
        <v>53</v>
      </c>
      <c r="B43" t="s">
        <v>512</v>
      </c>
      <c r="C43">
        <v>2022</v>
      </c>
      <c r="D43" s="2">
        <v>187965</v>
      </c>
      <c r="E43" s="2">
        <v>57333</v>
      </c>
      <c r="F43" s="2">
        <v>130632</v>
      </c>
      <c r="G43" s="2">
        <v>154068</v>
      </c>
      <c r="H43" s="2">
        <v>89290</v>
      </c>
      <c r="I43" s="2">
        <v>64778</v>
      </c>
      <c r="J43" s="2">
        <v>52101</v>
      </c>
      <c r="K43" s="2">
        <v>14587994</v>
      </c>
      <c r="L43" s="2">
        <v>6438618</v>
      </c>
      <c r="M43" s="2">
        <f t="shared" si="3"/>
        <v>37593</v>
      </c>
      <c r="N43" s="2">
        <f t="shared" si="4"/>
        <v>26126.400000000001</v>
      </c>
      <c r="O43" s="7">
        <f t="shared" si="0"/>
        <v>0.33816886050315448</v>
      </c>
      <c r="P43" s="9">
        <f t="shared" si="5"/>
        <v>44.136417933815984</v>
      </c>
      <c r="Q43" s="7">
        <f t="shared" si="1"/>
        <v>0.57954928992392973</v>
      </c>
      <c r="R43" s="9">
        <f t="shared" si="2"/>
        <v>8.9547610178616743E-3</v>
      </c>
      <c r="V43">
        <v>120271</v>
      </c>
      <c r="W43">
        <v>66207</v>
      </c>
      <c r="Y43">
        <v>156298</v>
      </c>
      <c r="Z43">
        <v>100480</v>
      </c>
      <c r="AB43">
        <v>55818</v>
      </c>
      <c r="AC43">
        <v>85723</v>
      </c>
    </row>
    <row r="44" spans="1:29" x14ac:dyDescent="0.3">
      <c r="A44" t="s">
        <v>54</v>
      </c>
      <c r="B44" t="s">
        <v>512</v>
      </c>
      <c r="C44">
        <v>2022</v>
      </c>
      <c r="D44" s="2">
        <v>99377</v>
      </c>
      <c r="E44" s="2">
        <v>58404</v>
      </c>
      <c r="F44" s="2">
        <v>40973</v>
      </c>
      <c r="G44" s="2">
        <v>115018</v>
      </c>
      <c r="H44" s="2">
        <v>54790</v>
      </c>
      <c r="I44" s="2">
        <v>60228</v>
      </c>
      <c r="J44" s="2">
        <v>49077</v>
      </c>
      <c r="K44" s="2">
        <v>8806688</v>
      </c>
      <c r="L44" s="2">
        <v>10265795</v>
      </c>
      <c r="M44" s="2">
        <f t="shared" si="3"/>
        <v>19875.400000000001</v>
      </c>
      <c r="N44" s="2">
        <f t="shared" si="4"/>
        <v>8194.6</v>
      </c>
      <c r="O44" s="7">
        <f t="shared" si="0"/>
        <v>0.42668973551965778</v>
      </c>
      <c r="P44" s="9">
        <f t="shared" si="5"/>
        <v>116.56816955477474</v>
      </c>
      <c r="Q44" s="7">
        <f t="shared" si="1"/>
        <v>0.47636022187831467</v>
      </c>
      <c r="R44" s="9">
        <f t="shared" si="2"/>
        <v>4.6524868372763975E-3</v>
      </c>
      <c r="V44">
        <v>187965</v>
      </c>
      <c r="W44">
        <v>130632</v>
      </c>
      <c r="Y44">
        <v>154068</v>
      </c>
      <c r="Z44">
        <v>64778</v>
      </c>
      <c r="AB44">
        <v>89290</v>
      </c>
      <c r="AC44">
        <v>52101</v>
      </c>
    </row>
    <row r="45" spans="1:29" x14ac:dyDescent="0.3">
      <c r="A45" t="s">
        <v>55</v>
      </c>
      <c r="B45" t="s">
        <v>512</v>
      </c>
      <c r="C45">
        <v>2022</v>
      </c>
      <c r="D45" s="2">
        <v>152946</v>
      </c>
      <c r="E45" s="2">
        <v>66491</v>
      </c>
      <c r="F45" s="2">
        <v>86455</v>
      </c>
      <c r="G45" s="2">
        <v>125044</v>
      </c>
      <c r="H45" s="2">
        <v>58484</v>
      </c>
      <c r="I45" s="2">
        <v>66560</v>
      </c>
      <c r="J45" s="2">
        <v>47107</v>
      </c>
      <c r="K45" s="2">
        <v>8444084</v>
      </c>
      <c r="L45" s="2">
        <v>5927109</v>
      </c>
      <c r="M45" s="2">
        <f t="shared" si="3"/>
        <v>30589.200000000001</v>
      </c>
      <c r="N45" s="2">
        <f t="shared" si="4"/>
        <v>17291</v>
      </c>
      <c r="O45" s="7">
        <f t="shared" si="0"/>
        <v>0.37672339336553534</v>
      </c>
      <c r="P45" s="9">
        <f t="shared" si="5"/>
        <v>70.192444793301448</v>
      </c>
      <c r="Q45" s="7">
        <f t="shared" si="1"/>
        <v>0.46770736700681359</v>
      </c>
      <c r="R45" s="9">
        <f t="shared" si="2"/>
        <v>1.0238529128795972E-2</v>
      </c>
      <c r="V45">
        <v>99377</v>
      </c>
      <c r="W45">
        <v>40973</v>
      </c>
      <c r="Y45">
        <v>115018</v>
      </c>
      <c r="Z45">
        <v>60228</v>
      </c>
      <c r="AB45">
        <v>54790</v>
      </c>
      <c r="AC45">
        <v>49077</v>
      </c>
    </row>
    <row r="46" spans="1:29" x14ac:dyDescent="0.3">
      <c r="A46" t="s">
        <v>56</v>
      </c>
      <c r="B46" t="s">
        <v>512</v>
      </c>
      <c r="C46">
        <v>2022</v>
      </c>
      <c r="D46" s="2">
        <v>113208</v>
      </c>
      <c r="E46" s="2">
        <v>43828</v>
      </c>
      <c r="F46" s="2">
        <v>69380</v>
      </c>
      <c r="G46" s="2">
        <v>108091</v>
      </c>
      <c r="H46" s="2">
        <v>18420</v>
      </c>
      <c r="I46" s="2">
        <v>89671</v>
      </c>
      <c r="J46" s="2">
        <v>87370</v>
      </c>
      <c r="K46" s="2">
        <v>12778484</v>
      </c>
      <c r="L46" s="2">
        <v>11503902</v>
      </c>
      <c r="M46" s="2">
        <f t="shared" si="3"/>
        <v>22641.599999999999</v>
      </c>
      <c r="N46" s="2">
        <f t="shared" si="4"/>
        <v>13876</v>
      </c>
      <c r="O46" s="7">
        <f t="shared" si="0"/>
        <v>0.8083004135404428</v>
      </c>
      <c r="P46" s="9">
        <f t="shared" si="5"/>
        <v>90.025561717649765</v>
      </c>
      <c r="Q46" s="7">
        <f t="shared" si="1"/>
        <v>0.17041196769388756</v>
      </c>
      <c r="R46" s="9">
        <f t="shared" si="2"/>
        <v>5.4294390476992416E-3</v>
      </c>
      <c r="V46">
        <v>152946</v>
      </c>
      <c r="W46">
        <v>86455</v>
      </c>
      <c r="Y46">
        <v>125044</v>
      </c>
      <c r="Z46">
        <v>66560</v>
      </c>
      <c r="AB46">
        <v>58484</v>
      </c>
      <c r="AC46">
        <v>47107</v>
      </c>
    </row>
    <row r="47" spans="1:29" x14ac:dyDescent="0.3">
      <c r="A47" t="s">
        <v>57</v>
      </c>
      <c r="B47" t="s">
        <v>512</v>
      </c>
      <c r="C47">
        <v>2022</v>
      </c>
      <c r="D47" s="2">
        <v>174019</v>
      </c>
      <c r="E47" s="2">
        <v>75726</v>
      </c>
      <c r="F47" s="2">
        <v>98293</v>
      </c>
      <c r="G47" s="2">
        <v>128785</v>
      </c>
      <c r="H47" s="2">
        <v>21102</v>
      </c>
      <c r="I47" s="2">
        <v>107683</v>
      </c>
      <c r="J47" s="2">
        <v>88115</v>
      </c>
      <c r="K47" s="2">
        <v>7215167</v>
      </c>
      <c r="L47" s="2">
        <v>6886402</v>
      </c>
      <c r="M47" s="2">
        <f t="shared" si="3"/>
        <v>34803.800000000003</v>
      </c>
      <c r="N47" s="2">
        <f t="shared" si="4"/>
        <v>19658.599999999999</v>
      </c>
      <c r="O47" s="7">
        <f t="shared" si="0"/>
        <v>0.68420235275847341</v>
      </c>
      <c r="P47" s="9">
        <f t="shared" si="5"/>
        <v>95.443418010976046</v>
      </c>
      <c r="Q47" s="7">
        <f t="shared" si="1"/>
        <v>0.16385448615910239</v>
      </c>
      <c r="R47" s="9">
        <f t="shared" si="2"/>
        <v>1.3623108099923398E-2</v>
      </c>
      <c r="V47">
        <v>113208</v>
      </c>
      <c r="W47">
        <v>69380</v>
      </c>
      <c r="Y47">
        <v>108091</v>
      </c>
      <c r="Z47">
        <v>89671</v>
      </c>
      <c r="AB47">
        <v>18420</v>
      </c>
      <c r="AC47">
        <v>87370</v>
      </c>
    </row>
    <row r="48" spans="1:29" x14ac:dyDescent="0.3">
      <c r="A48" t="s">
        <v>58</v>
      </c>
      <c r="B48" t="s">
        <v>512</v>
      </c>
      <c r="C48">
        <v>2022</v>
      </c>
      <c r="D48" s="2">
        <v>76641</v>
      </c>
      <c r="E48" s="2">
        <v>44584</v>
      </c>
      <c r="F48" s="2">
        <v>32057</v>
      </c>
      <c r="G48" s="2">
        <v>84802</v>
      </c>
      <c r="H48" s="2">
        <v>38093</v>
      </c>
      <c r="I48" s="2">
        <v>46709</v>
      </c>
      <c r="J48" s="2">
        <v>44140</v>
      </c>
      <c r="K48" s="2">
        <v>6414466</v>
      </c>
      <c r="L48" s="2">
        <v>3445101</v>
      </c>
      <c r="M48" s="2">
        <f t="shared" si="3"/>
        <v>15328.2</v>
      </c>
      <c r="N48" s="2">
        <f t="shared" si="4"/>
        <v>6411.4</v>
      </c>
      <c r="O48" s="7">
        <f t="shared" si="0"/>
        <v>0.5205065918256645</v>
      </c>
      <c r="P48" s="9">
        <f t="shared" si="5"/>
        <v>53.708305570565031</v>
      </c>
      <c r="Q48" s="7">
        <f t="shared" si="1"/>
        <v>0.44919931133699675</v>
      </c>
      <c r="R48" s="9">
        <f t="shared" si="2"/>
        <v>4.9976100894447021E-3</v>
      </c>
      <c r="V48">
        <v>174019</v>
      </c>
      <c r="W48">
        <v>98293</v>
      </c>
      <c r="Y48">
        <v>128785</v>
      </c>
      <c r="Z48">
        <v>107683</v>
      </c>
      <c r="AB48">
        <v>21102</v>
      </c>
      <c r="AC48">
        <v>88115</v>
      </c>
    </row>
    <row r="49" spans="1:29" x14ac:dyDescent="0.3">
      <c r="A49" t="s">
        <v>59</v>
      </c>
      <c r="B49" t="s">
        <v>512</v>
      </c>
      <c r="C49">
        <v>2022</v>
      </c>
      <c r="D49" s="2">
        <v>86631</v>
      </c>
      <c r="E49" s="2">
        <v>14014</v>
      </c>
      <c r="F49" s="2">
        <v>72617</v>
      </c>
      <c r="G49" s="2">
        <v>103710</v>
      </c>
      <c r="H49" s="2">
        <v>33070</v>
      </c>
      <c r="I49" s="2">
        <v>70640</v>
      </c>
      <c r="J49" s="2">
        <v>65631</v>
      </c>
      <c r="K49" s="2">
        <v>6105534</v>
      </c>
      <c r="L49" s="2">
        <v>14616410</v>
      </c>
      <c r="M49" s="2">
        <f t="shared" si="3"/>
        <v>17326.2</v>
      </c>
      <c r="N49" s="2">
        <f t="shared" si="4"/>
        <v>14523.4</v>
      </c>
      <c r="O49" s="7">
        <f t="shared" si="0"/>
        <v>0.63283193520393399</v>
      </c>
      <c r="P49" s="9">
        <f t="shared" si="5"/>
        <v>239.39609541114666</v>
      </c>
      <c r="Q49" s="7">
        <f t="shared" si="1"/>
        <v>0.31886992575450779</v>
      </c>
      <c r="R49" s="9">
        <f t="shared" si="2"/>
        <v>1.1893636166795566E-2</v>
      </c>
      <c r="V49">
        <v>76641</v>
      </c>
      <c r="W49">
        <v>32057</v>
      </c>
      <c r="Y49">
        <v>84802</v>
      </c>
      <c r="Z49">
        <v>46709</v>
      </c>
      <c r="AB49">
        <v>38093</v>
      </c>
      <c r="AC49">
        <v>44140</v>
      </c>
    </row>
    <row r="50" spans="1:29" x14ac:dyDescent="0.3">
      <c r="A50" t="s">
        <v>60</v>
      </c>
      <c r="B50" t="s">
        <v>512</v>
      </c>
      <c r="C50">
        <v>2022</v>
      </c>
      <c r="D50" s="2">
        <v>60729</v>
      </c>
      <c r="E50" s="2">
        <v>55017</v>
      </c>
      <c r="F50" s="2">
        <v>5712</v>
      </c>
      <c r="G50" s="2">
        <v>92032</v>
      </c>
      <c r="H50" s="2">
        <v>42751</v>
      </c>
      <c r="I50" s="2">
        <v>49281</v>
      </c>
      <c r="J50" s="2">
        <v>39185</v>
      </c>
      <c r="K50" s="2">
        <v>19024490</v>
      </c>
      <c r="L50" s="2">
        <v>11073461</v>
      </c>
      <c r="M50" s="2">
        <f t="shared" si="3"/>
        <v>12145.8</v>
      </c>
      <c r="N50" s="2">
        <f t="shared" si="4"/>
        <v>1142.4000000000001</v>
      </c>
      <c r="O50" s="7">
        <f t="shared" si="0"/>
        <v>0.42577581710709317</v>
      </c>
      <c r="P50" s="9">
        <f t="shared" si="5"/>
        <v>58.206348764145588</v>
      </c>
      <c r="Q50" s="7">
        <f t="shared" si="1"/>
        <v>0.46452320931849789</v>
      </c>
      <c r="R50" s="9">
        <f t="shared" si="2"/>
        <v>3.0024457948675629E-4</v>
      </c>
      <c r="V50">
        <v>86631</v>
      </c>
      <c r="W50">
        <v>72617</v>
      </c>
      <c r="Y50">
        <v>103710</v>
      </c>
      <c r="Z50">
        <v>70640</v>
      </c>
      <c r="AB50">
        <v>33070</v>
      </c>
      <c r="AC50">
        <v>65631</v>
      </c>
    </row>
    <row r="51" spans="1:29" x14ac:dyDescent="0.3">
      <c r="A51" t="s">
        <v>61</v>
      </c>
      <c r="B51" t="s">
        <v>512</v>
      </c>
      <c r="C51">
        <v>2022</v>
      </c>
      <c r="D51" s="2">
        <v>155510</v>
      </c>
      <c r="E51" s="2">
        <v>64748</v>
      </c>
      <c r="F51" s="2">
        <v>90762</v>
      </c>
      <c r="G51" s="2">
        <v>116563</v>
      </c>
      <c r="H51" s="2">
        <v>34190</v>
      </c>
      <c r="I51" s="2">
        <v>82373</v>
      </c>
      <c r="J51" s="2">
        <v>63452</v>
      </c>
      <c r="K51" s="2">
        <v>11526818</v>
      </c>
      <c r="L51" s="2">
        <v>12881393</v>
      </c>
      <c r="M51" s="2">
        <f t="shared" si="3"/>
        <v>31102</v>
      </c>
      <c r="N51" s="2">
        <f t="shared" si="4"/>
        <v>18152.400000000001</v>
      </c>
      <c r="O51" s="7">
        <f t="shared" si="0"/>
        <v>0.54435798666815371</v>
      </c>
      <c r="P51" s="9">
        <f t="shared" si="5"/>
        <v>111.75150852559656</v>
      </c>
      <c r="Q51" s="7">
        <f t="shared" si="1"/>
        <v>0.29331777665296876</v>
      </c>
      <c r="R51" s="9">
        <f t="shared" si="2"/>
        <v>7.873985691454484E-3</v>
      </c>
      <c r="V51">
        <v>60729</v>
      </c>
      <c r="W51">
        <v>5712</v>
      </c>
      <c r="Y51">
        <v>92032</v>
      </c>
      <c r="Z51">
        <v>49281</v>
      </c>
      <c r="AB51">
        <v>42751</v>
      </c>
      <c r="AC51">
        <v>39185</v>
      </c>
    </row>
    <row r="52" spans="1:29" x14ac:dyDescent="0.3">
      <c r="A52" t="s">
        <v>62</v>
      </c>
      <c r="B52" t="s">
        <v>512</v>
      </c>
      <c r="C52">
        <v>2022</v>
      </c>
      <c r="D52" s="2">
        <v>79592</v>
      </c>
      <c r="E52" s="2">
        <v>20647</v>
      </c>
      <c r="F52" s="2">
        <v>58945</v>
      </c>
      <c r="G52" s="2">
        <v>87661</v>
      </c>
      <c r="H52" s="2">
        <v>85316</v>
      </c>
      <c r="I52" s="2">
        <v>2345</v>
      </c>
      <c r="J52" s="2">
        <v>-2023</v>
      </c>
      <c r="K52" s="2">
        <v>7699015</v>
      </c>
      <c r="L52" s="2">
        <v>14803135</v>
      </c>
      <c r="M52" s="2">
        <f t="shared" si="3"/>
        <v>15918.4</v>
      </c>
      <c r="N52" s="2">
        <f t="shared" si="4"/>
        <v>11789</v>
      </c>
      <c r="O52" s="7">
        <f t="shared" si="0"/>
        <v>-2.3077537331310388E-2</v>
      </c>
      <c r="P52" s="9">
        <f t="shared" si="5"/>
        <v>192.27310246830277</v>
      </c>
      <c r="Q52" s="7">
        <f t="shared" si="1"/>
        <v>0.97324922143256409</v>
      </c>
      <c r="R52" s="9">
        <f t="shared" si="2"/>
        <v>7.656174198907263E-3</v>
      </c>
      <c r="V52">
        <v>155510</v>
      </c>
      <c r="W52">
        <v>90762</v>
      </c>
      <c r="Y52">
        <v>116563</v>
      </c>
      <c r="Z52">
        <v>82373</v>
      </c>
      <c r="AB52">
        <v>34190</v>
      </c>
      <c r="AC52">
        <v>63452</v>
      </c>
    </row>
    <row r="53" spans="1:29" x14ac:dyDescent="0.3">
      <c r="A53" t="s">
        <v>63</v>
      </c>
      <c r="B53" t="s">
        <v>512</v>
      </c>
      <c r="C53">
        <v>2022</v>
      </c>
      <c r="D53" s="2">
        <v>120031</v>
      </c>
      <c r="E53" s="2">
        <v>65766</v>
      </c>
      <c r="F53" s="2">
        <v>54265</v>
      </c>
      <c r="G53" s="2">
        <v>87668</v>
      </c>
      <c r="H53" s="2">
        <v>47097</v>
      </c>
      <c r="I53" s="2">
        <v>40571</v>
      </c>
      <c r="J53" s="2">
        <v>25450</v>
      </c>
      <c r="K53" s="2">
        <v>9183839</v>
      </c>
      <c r="L53" s="2">
        <v>3666326</v>
      </c>
      <c r="M53" s="2">
        <f t="shared" si="3"/>
        <v>24006.2</v>
      </c>
      <c r="N53" s="2">
        <f t="shared" si="4"/>
        <v>10853</v>
      </c>
      <c r="O53" s="7">
        <f t="shared" si="0"/>
        <v>0.29029976730391932</v>
      </c>
      <c r="P53" s="9">
        <f t="shared" si="5"/>
        <v>39.921496881641758</v>
      </c>
      <c r="Q53" s="7">
        <f t="shared" si="1"/>
        <v>0.53721996623625501</v>
      </c>
      <c r="R53" s="9">
        <f t="shared" si="2"/>
        <v>5.908749053636502E-3</v>
      </c>
      <c r="V53">
        <v>79592</v>
      </c>
      <c r="W53">
        <v>58945</v>
      </c>
      <c r="Y53">
        <v>87661</v>
      </c>
      <c r="Z53">
        <v>2345</v>
      </c>
      <c r="AB53">
        <v>85316</v>
      </c>
      <c r="AC53">
        <v>-2023</v>
      </c>
    </row>
    <row r="54" spans="1:29" x14ac:dyDescent="0.3">
      <c r="A54" t="s">
        <v>64</v>
      </c>
      <c r="B54" t="s">
        <v>512</v>
      </c>
      <c r="C54">
        <v>2022</v>
      </c>
      <c r="D54" s="2">
        <v>174862</v>
      </c>
      <c r="E54" s="2">
        <v>62921</v>
      </c>
      <c r="F54" s="2">
        <v>111941</v>
      </c>
      <c r="G54" s="2">
        <v>181667</v>
      </c>
      <c r="H54" s="2">
        <v>65300</v>
      </c>
      <c r="I54" s="2">
        <v>116367</v>
      </c>
      <c r="J54" s="2">
        <v>104460</v>
      </c>
      <c r="K54" s="2">
        <v>14827141</v>
      </c>
      <c r="L54" s="2">
        <v>13669838</v>
      </c>
      <c r="M54" s="2">
        <f t="shared" si="3"/>
        <v>34972.400000000001</v>
      </c>
      <c r="N54" s="2">
        <f t="shared" si="4"/>
        <v>22388.2</v>
      </c>
      <c r="O54" s="7">
        <f t="shared" si="0"/>
        <v>0.57500811925115736</v>
      </c>
      <c r="P54" s="9">
        <f t="shared" si="5"/>
        <v>92.194698897110371</v>
      </c>
      <c r="Q54" s="7">
        <f t="shared" si="1"/>
        <v>0.35944888174517109</v>
      </c>
      <c r="R54" s="9">
        <f t="shared" si="2"/>
        <v>7.549735987537989E-3</v>
      </c>
      <c r="V54">
        <v>120031</v>
      </c>
      <c r="W54">
        <v>54265</v>
      </c>
      <c r="Y54">
        <v>87668</v>
      </c>
      <c r="Z54">
        <v>40571</v>
      </c>
      <c r="AB54">
        <v>47097</v>
      </c>
      <c r="AC54">
        <v>25450</v>
      </c>
    </row>
    <row r="55" spans="1:29" x14ac:dyDescent="0.3">
      <c r="A55" t="s">
        <v>65</v>
      </c>
      <c r="B55" t="s">
        <v>512</v>
      </c>
      <c r="C55">
        <v>2022</v>
      </c>
      <c r="D55" s="2">
        <v>145285</v>
      </c>
      <c r="E55" s="2">
        <v>25338</v>
      </c>
      <c r="F55" s="2">
        <v>119947</v>
      </c>
      <c r="G55" s="2">
        <v>207974</v>
      </c>
      <c r="H55" s="2">
        <v>95135</v>
      </c>
      <c r="I55" s="2">
        <v>112839</v>
      </c>
      <c r="J55" s="2">
        <v>107788</v>
      </c>
      <c r="K55" s="2">
        <v>6752683</v>
      </c>
      <c r="L55" s="2">
        <v>10716868</v>
      </c>
      <c r="M55" s="2">
        <f t="shared" si="3"/>
        <v>29057</v>
      </c>
      <c r="N55" s="2">
        <f t="shared" si="4"/>
        <v>23989.4</v>
      </c>
      <c r="O55" s="7">
        <f t="shared" si="0"/>
        <v>0.51827632300191373</v>
      </c>
      <c r="P55" s="9">
        <f t="shared" si="5"/>
        <v>158.70533238417974</v>
      </c>
      <c r="Q55" s="7">
        <f t="shared" si="1"/>
        <v>0.45743698731572213</v>
      </c>
      <c r="R55" s="9">
        <f t="shared" si="2"/>
        <v>1.776286551582534E-2</v>
      </c>
      <c r="V55">
        <v>174862</v>
      </c>
      <c r="W55">
        <v>111941</v>
      </c>
      <c r="Y55">
        <v>181667</v>
      </c>
      <c r="Z55">
        <v>116367</v>
      </c>
      <c r="AB55">
        <v>65300</v>
      </c>
      <c r="AC55">
        <v>104460</v>
      </c>
    </row>
    <row r="56" spans="1:29" x14ac:dyDescent="0.3">
      <c r="A56" t="s">
        <v>66</v>
      </c>
      <c r="B56" t="s">
        <v>512</v>
      </c>
      <c r="C56">
        <v>2022</v>
      </c>
      <c r="D56" s="2">
        <v>137235</v>
      </c>
      <c r="E56" s="2">
        <v>64021</v>
      </c>
      <c r="F56" s="2">
        <v>73214</v>
      </c>
      <c r="G56" s="2">
        <v>159626</v>
      </c>
      <c r="H56" s="2">
        <v>73335</v>
      </c>
      <c r="I56" s="2">
        <v>86291</v>
      </c>
      <c r="J56" s="2">
        <v>80149</v>
      </c>
      <c r="K56" s="2">
        <v>6260386</v>
      </c>
      <c r="L56" s="2">
        <v>6054390</v>
      </c>
      <c r="M56" s="2">
        <f t="shared" si="3"/>
        <v>27447</v>
      </c>
      <c r="N56" s="2">
        <f t="shared" si="4"/>
        <v>14642.8</v>
      </c>
      <c r="O56" s="7">
        <f t="shared" si="0"/>
        <v>0.50210492025108688</v>
      </c>
      <c r="P56" s="9">
        <f t="shared" si="5"/>
        <v>96.709531968156597</v>
      </c>
      <c r="Q56" s="7">
        <f t="shared" si="1"/>
        <v>0.4594176387305326</v>
      </c>
      <c r="R56" s="9">
        <f t="shared" si="2"/>
        <v>1.1694806039116438E-2</v>
      </c>
      <c r="V56">
        <v>145285</v>
      </c>
      <c r="W56">
        <v>119947</v>
      </c>
      <c r="Y56">
        <v>207974</v>
      </c>
      <c r="Z56">
        <v>112839</v>
      </c>
      <c r="AB56">
        <v>95135</v>
      </c>
      <c r="AC56">
        <v>107788</v>
      </c>
    </row>
    <row r="57" spans="1:29" x14ac:dyDescent="0.3">
      <c r="A57" t="s">
        <v>67</v>
      </c>
      <c r="B57" t="s">
        <v>512</v>
      </c>
      <c r="C57">
        <v>2022</v>
      </c>
      <c r="D57" s="2">
        <v>123523</v>
      </c>
      <c r="E57" s="2">
        <v>27019</v>
      </c>
      <c r="F57" s="2">
        <v>96504</v>
      </c>
      <c r="G57" s="2">
        <v>200117</v>
      </c>
      <c r="H57" s="2">
        <v>88847</v>
      </c>
      <c r="I57" s="2">
        <v>111270</v>
      </c>
      <c r="J57" s="2">
        <v>92056</v>
      </c>
      <c r="K57" s="2">
        <v>11319707</v>
      </c>
      <c r="L57" s="2">
        <v>10967801</v>
      </c>
      <c r="M57" s="2">
        <f t="shared" si="3"/>
        <v>24704.6</v>
      </c>
      <c r="N57" s="2">
        <f t="shared" si="4"/>
        <v>19300.8</v>
      </c>
      <c r="O57" s="7">
        <f t="shared" si="0"/>
        <v>0.46001089362722808</v>
      </c>
      <c r="P57" s="9">
        <f t="shared" si="5"/>
        <v>96.891209286600784</v>
      </c>
      <c r="Q57" s="7">
        <f t="shared" si="1"/>
        <v>0.4439752744644383</v>
      </c>
      <c r="R57" s="9">
        <f t="shared" si="2"/>
        <v>8.5253090031393915E-3</v>
      </c>
      <c r="V57">
        <v>137235</v>
      </c>
      <c r="W57">
        <v>73214</v>
      </c>
      <c r="Y57">
        <v>159626</v>
      </c>
      <c r="Z57">
        <v>86291</v>
      </c>
      <c r="AB57">
        <v>73335</v>
      </c>
      <c r="AC57">
        <v>80149</v>
      </c>
    </row>
    <row r="58" spans="1:29" x14ac:dyDescent="0.3">
      <c r="A58" t="s">
        <v>68</v>
      </c>
      <c r="B58" t="s">
        <v>512</v>
      </c>
      <c r="C58">
        <v>2022</v>
      </c>
      <c r="D58" s="2">
        <v>162566</v>
      </c>
      <c r="E58" s="2">
        <v>35945</v>
      </c>
      <c r="F58" s="2">
        <v>126621</v>
      </c>
      <c r="G58" s="2">
        <v>237473</v>
      </c>
      <c r="H58" s="2">
        <v>47217</v>
      </c>
      <c r="I58" s="2">
        <v>190256</v>
      </c>
      <c r="J58" s="2">
        <v>179948</v>
      </c>
      <c r="K58" s="2">
        <v>16802429</v>
      </c>
      <c r="L58" s="2">
        <v>3183062</v>
      </c>
      <c r="M58" s="2">
        <f t="shared" si="3"/>
        <v>32513.200000000001</v>
      </c>
      <c r="N58" s="2">
        <f t="shared" si="4"/>
        <v>25324.2</v>
      </c>
      <c r="O58" s="7">
        <f t="shared" si="0"/>
        <v>0.75776193504103628</v>
      </c>
      <c r="P58" s="9">
        <f t="shared" si="5"/>
        <v>18.944058623904915</v>
      </c>
      <c r="Q58" s="7">
        <f t="shared" si="1"/>
        <v>0.19883102500073693</v>
      </c>
      <c r="R58" s="9">
        <f t="shared" si="2"/>
        <v>7.5358747238271325E-3</v>
      </c>
      <c r="V58">
        <v>123523</v>
      </c>
      <c r="W58">
        <v>96504</v>
      </c>
      <c r="Y58">
        <v>200117</v>
      </c>
      <c r="Z58">
        <v>111270</v>
      </c>
      <c r="AB58">
        <v>88847</v>
      </c>
      <c r="AC58">
        <v>92056</v>
      </c>
    </row>
    <row r="59" spans="1:29" x14ac:dyDescent="0.3">
      <c r="A59" t="s">
        <v>69</v>
      </c>
      <c r="B59" t="s">
        <v>512</v>
      </c>
      <c r="C59">
        <v>2022</v>
      </c>
      <c r="D59" s="2">
        <v>182222</v>
      </c>
      <c r="E59" s="2">
        <v>76617</v>
      </c>
      <c r="F59" s="2">
        <v>105605</v>
      </c>
      <c r="G59" s="2">
        <v>220446</v>
      </c>
      <c r="H59" s="2">
        <v>31896</v>
      </c>
      <c r="I59" s="2">
        <v>188550</v>
      </c>
      <c r="J59" s="2">
        <v>173143</v>
      </c>
      <c r="K59" s="2">
        <v>15100349</v>
      </c>
      <c r="L59" s="2">
        <v>3529525</v>
      </c>
      <c r="M59" s="2">
        <f t="shared" si="3"/>
        <v>36444.400000000001</v>
      </c>
      <c r="N59" s="2">
        <f t="shared" si="4"/>
        <v>21121</v>
      </c>
      <c r="O59" s="7">
        <f t="shared" si="0"/>
        <v>0.78542137303466608</v>
      </c>
      <c r="P59" s="9">
        <f t="shared" si="5"/>
        <v>23.373797519514284</v>
      </c>
      <c r="Q59" s="7">
        <f t="shared" si="1"/>
        <v>0.14468849514166734</v>
      </c>
      <c r="R59" s="9">
        <f t="shared" si="2"/>
        <v>6.9935469703382349E-3</v>
      </c>
      <c r="V59">
        <v>162566</v>
      </c>
      <c r="W59">
        <v>126621</v>
      </c>
      <c r="Y59">
        <v>237473</v>
      </c>
      <c r="Z59">
        <v>190256</v>
      </c>
      <c r="AB59">
        <v>47217</v>
      </c>
      <c r="AC59">
        <v>179948</v>
      </c>
    </row>
    <row r="60" spans="1:29" x14ac:dyDescent="0.3">
      <c r="A60" t="s">
        <v>70</v>
      </c>
      <c r="B60" t="s">
        <v>512</v>
      </c>
      <c r="C60">
        <v>2022</v>
      </c>
      <c r="D60" s="2">
        <v>70056</v>
      </c>
      <c r="E60" s="2">
        <v>55543</v>
      </c>
      <c r="F60" s="2">
        <v>14513</v>
      </c>
      <c r="G60" s="2">
        <v>91069</v>
      </c>
      <c r="H60" s="2">
        <v>18343</v>
      </c>
      <c r="I60" s="2">
        <v>72726</v>
      </c>
      <c r="J60" s="2">
        <v>57226</v>
      </c>
      <c r="K60" s="2">
        <v>8699391</v>
      </c>
      <c r="L60" s="2">
        <v>11929860</v>
      </c>
      <c r="M60" s="2">
        <f t="shared" si="3"/>
        <v>14011.2</v>
      </c>
      <c r="N60" s="2">
        <f t="shared" si="4"/>
        <v>2902.6</v>
      </c>
      <c r="O60" s="7">
        <f t="shared" si="0"/>
        <v>0.62838067838671774</v>
      </c>
      <c r="P60" s="9">
        <f t="shared" si="5"/>
        <v>137.13442699609661</v>
      </c>
      <c r="Q60" s="7">
        <f t="shared" si="1"/>
        <v>0.20141870449878663</v>
      </c>
      <c r="R60" s="9">
        <f t="shared" si="2"/>
        <v>1.6682776989791583E-3</v>
      </c>
      <c r="V60">
        <v>182222</v>
      </c>
      <c r="W60">
        <v>105605</v>
      </c>
      <c r="Y60">
        <v>220446</v>
      </c>
      <c r="Z60">
        <v>188550</v>
      </c>
      <c r="AB60">
        <v>31896</v>
      </c>
      <c r="AC60">
        <v>173143</v>
      </c>
    </row>
    <row r="61" spans="1:29" x14ac:dyDescent="0.3">
      <c r="A61" t="s">
        <v>71</v>
      </c>
      <c r="B61" t="s">
        <v>512</v>
      </c>
      <c r="C61">
        <v>2022</v>
      </c>
      <c r="D61" s="2">
        <v>163429</v>
      </c>
      <c r="E61" s="2">
        <v>69638</v>
      </c>
      <c r="F61" s="2">
        <v>93791</v>
      </c>
      <c r="G61" s="2">
        <v>187457</v>
      </c>
      <c r="H61" s="2">
        <v>82215</v>
      </c>
      <c r="I61" s="2">
        <v>105242</v>
      </c>
      <c r="J61" s="2">
        <v>99736</v>
      </c>
      <c r="K61" s="2">
        <v>5144356</v>
      </c>
      <c r="L61" s="2">
        <v>14487928</v>
      </c>
      <c r="M61" s="2">
        <f t="shared" si="3"/>
        <v>32685.8</v>
      </c>
      <c r="N61" s="2">
        <f t="shared" si="4"/>
        <v>18758.2</v>
      </c>
      <c r="O61" s="7">
        <f t="shared" si="0"/>
        <v>0.53204734952549115</v>
      </c>
      <c r="P61" s="9">
        <f t="shared" si="5"/>
        <v>281.62763230227455</v>
      </c>
      <c r="Q61" s="7">
        <f t="shared" si="1"/>
        <v>0.43858058114660964</v>
      </c>
      <c r="R61" s="9">
        <f t="shared" si="2"/>
        <v>1.8231825324685928E-2</v>
      </c>
      <c r="V61">
        <v>70056</v>
      </c>
      <c r="W61">
        <v>14513</v>
      </c>
      <c r="Y61">
        <v>91069</v>
      </c>
      <c r="Z61">
        <v>72726</v>
      </c>
      <c r="AB61">
        <v>18343</v>
      </c>
      <c r="AC61">
        <v>57226</v>
      </c>
    </row>
    <row r="62" spans="1:29" x14ac:dyDescent="0.3">
      <c r="A62" t="s">
        <v>72</v>
      </c>
      <c r="B62" t="s">
        <v>512</v>
      </c>
      <c r="C62">
        <v>2023</v>
      </c>
      <c r="D62" s="2">
        <v>143468</v>
      </c>
      <c r="E62" s="2">
        <v>71389</v>
      </c>
      <c r="F62" s="2">
        <v>72079</v>
      </c>
      <c r="G62" s="2">
        <v>101514</v>
      </c>
      <c r="H62" s="2">
        <v>69340</v>
      </c>
      <c r="I62" s="2">
        <v>32174</v>
      </c>
      <c r="J62" s="2">
        <v>18864</v>
      </c>
      <c r="K62" s="2">
        <v>12156720</v>
      </c>
      <c r="L62" s="2">
        <v>5288627</v>
      </c>
      <c r="M62" s="2">
        <f t="shared" si="3"/>
        <v>28693.599999999999</v>
      </c>
      <c r="N62" s="2">
        <f t="shared" si="4"/>
        <v>14415.8</v>
      </c>
      <c r="O62" s="7">
        <f t="shared" si="0"/>
        <v>0.18582658549559666</v>
      </c>
      <c r="P62" s="9">
        <f t="shared" si="5"/>
        <v>43.503732914799386</v>
      </c>
      <c r="Q62" s="7">
        <f t="shared" si="1"/>
        <v>0.68305849439486177</v>
      </c>
      <c r="R62" s="9">
        <f t="shared" si="2"/>
        <v>5.9291486519390101E-3</v>
      </c>
      <c r="V62">
        <v>163429</v>
      </c>
      <c r="W62">
        <v>93791</v>
      </c>
      <c r="Y62">
        <v>187457</v>
      </c>
      <c r="Z62">
        <v>105242</v>
      </c>
      <c r="AB62">
        <v>82215</v>
      </c>
      <c r="AC62">
        <v>99736</v>
      </c>
    </row>
    <row r="63" spans="1:29" x14ac:dyDescent="0.3">
      <c r="A63" t="s">
        <v>73</v>
      </c>
      <c r="B63" t="s">
        <v>512</v>
      </c>
      <c r="C63">
        <v>2023</v>
      </c>
      <c r="D63" s="2">
        <v>93919</v>
      </c>
      <c r="E63" s="2">
        <v>45247</v>
      </c>
      <c r="F63" s="2">
        <v>48672</v>
      </c>
      <c r="G63" s="2">
        <v>163430</v>
      </c>
      <c r="H63" s="2">
        <v>77752</v>
      </c>
      <c r="I63" s="2">
        <v>85678</v>
      </c>
      <c r="J63" s="2">
        <v>79226</v>
      </c>
      <c r="K63" s="2">
        <v>5288790</v>
      </c>
      <c r="L63" s="2">
        <v>8084921</v>
      </c>
      <c r="M63" s="2">
        <f t="shared" si="3"/>
        <v>18783.8</v>
      </c>
      <c r="N63" s="2">
        <f t="shared" si="4"/>
        <v>9734.4</v>
      </c>
      <c r="O63" s="7">
        <f t="shared" si="0"/>
        <v>0.48477023802239488</v>
      </c>
      <c r="P63" s="9">
        <f t="shared" si="5"/>
        <v>152.86901162647789</v>
      </c>
      <c r="Q63" s="7">
        <f t="shared" si="1"/>
        <v>0.47575108609190481</v>
      </c>
      <c r="R63" s="9">
        <f t="shared" si="2"/>
        <v>9.2028611459331906E-3</v>
      </c>
      <c r="V63">
        <v>143468</v>
      </c>
      <c r="W63">
        <v>72079</v>
      </c>
      <c r="Y63">
        <v>101514</v>
      </c>
      <c r="Z63">
        <v>32174</v>
      </c>
      <c r="AB63">
        <v>69340</v>
      </c>
      <c r="AC63">
        <v>18864</v>
      </c>
    </row>
    <row r="64" spans="1:29" x14ac:dyDescent="0.3">
      <c r="A64" t="s">
        <v>74</v>
      </c>
      <c r="B64" t="s">
        <v>512</v>
      </c>
      <c r="C64">
        <v>2023</v>
      </c>
      <c r="D64" s="2">
        <v>73049</v>
      </c>
      <c r="E64" s="2">
        <v>78385</v>
      </c>
      <c r="F64" s="2">
        <v>-5336</v>
      </c>
      <c r="G64" s="2">
        <v>54822</v>
      </c>
      <c r="H64" s="2">
        <v>80417</v>
      </c>
      <c r="I64" s="2">
        <v>-25595</v>
      </c>
      <c r="J64" s="2">
        <v>-39517</v>
      </c>
      <c r="K64" s="2">
        <v>18470137</v>
      </c>
      <c r="L64" s="2">
        <v>7466271</v>
      </c>
      <c r="M64" s="2">
        <f t="shared" si="3"/>
        <v>14609.8</v>
      </c>
      <c r="N64" s="2">
        <f t="shared" si="4"/>
        <v>-1067.2</v>
      </c>
      <c r="O64" s="7">
        <f t="shared" si="0"/>
        <v>-0.72082375688592171</v>
      </c>
      <c r="P64" s="9">
        <f t="shared" si="5"/>
        <v>40.423473848623864</v>
      </c>
      <c r="Q64" s="7">
        <f t="shared" si="1"/>
        <v>1.4668746123818905</v>
      </c>
      <c r="R64" s="9">
        <f t="shared" si="2"/>
        <v>-2.8889877752395662E-4</v>
      </c>
      <c r="V64">
        <v>93919</v>
      </c>
      <c r="W64">
        <v>48672</v>
      </c>
      <c r="Y64">
        <v>163430</v>
      </c>
      <c r="Z64">
        <v>85678</v>
      </c>
      <c r="AB64">
        <v>77752</v>
      </c>
      <c r="AC64">
        <v>79226</v>
      </c>
    </row>
    <row r="65" spans="1:29" x14ac:dyDescent="0.3">
      <c r="A65" t="s">
        <v>75</v>
      </c>
      <c r="B65" t="s">
        <v>512</v>
      </c>
      <c r="C65">
        <v>2023</v>
      </c>
      <c r="D65" s="2">
        <v>91975</v>
      </c>
      <c r="E65" s="2">
        <v>19540</v>
      </c>
      <c r="F65" s="2">
        <v>72435</v>
      </c>
      <c r="G65" s="2">
        <v>108799</v>
      </c>
      <c r="H65" s="2">
        <v>19611</v>
      </c>
      <c r="I65" s="2">
        <v>89188</v>
      </c>
      <c r="J65" s="2">
        <v>81310</v>
      </c>
      <c r="K65" s="2">
        <v>17220673</v>
      </c>
      <c r="L65" s="2">
        <v>3049115</v>
      </c>
      <c r="M65" s="2">
        <f t="shared" si="3"/>
        <v>18395</v>
      </c>
      <c r="N65" s="2">
        <f t="shared" si="4"/>
        <v>14487</v>
      </c>
      <c r="O65" s="7">
        <f t="shared" si="0"/>
        <v>0.74734142777047585</v>
      </c>
      <c r="P65" s="9">
        <f t="shared" si="5"/>
        <v>17.706131461877245</v>
      </c>
      <c r="Q65" s="7">
        <f t="shared" si="1"/>
        <v>0.18024981847259625</v>
      </c>
      <c r="R65" s="9">
        <f t="shared" si="2"/>
        <v>4.2062816011894542E-3</v>
      </c>
      <c r="V65">
        <v>73049</v>
      </c>
      <c r="W65">
        <v>-5336</v>
      </c>
      <c r="Y65">
        <v>54822</v>
      </c>
      <c r="Z65">
        <v>-25595</v>
      </c>
      <c r="AB65">
        <v>80417</v>
      </c>
      <c r="AC65">
        <v>-39517</v>
      </c>
    </row>
    <row r="66" spans="1:29" x14ac:dyDescent="0.3">
      <c r="A66" t="s">
        <v>76</v>
      </c>
      <c r="B66" t="s">
        <v>512</v>
      </c>
      <c r="C66">
        <v>2023</v>
      </c>
      <c r="D66" s="2">
        <v>141007</v>
      </c>
      <c r="E66" s="2">
        <v>70890</v>
      </c>
      <c r="F66" s="2">
        <v>70117</v>
      </c>
      <c r="G66" s="2">
        <v>156504</v>
      </c>
      <c r="H66" s="2">
        <v>33071</v>
      </c>
      <c r="I66" s="2">
        <v>123433</v>
      </c>
      <c r="J66" s="2">
        <v>114600</v>
      </c>
      <c r="K66" s="2">
        <v>18119138</v>
      </c>
      <c r="L66" s="2">
        <v>14438459</v>
      </c>
      <c r="M66" s="2">
        <f t="shared" si="3"/>
        <v>28201.4</v>
      </c>
      <c r="N66" s="2">
        <f t="shared" si="4"/>
        <v>14023.4</v>
      </c>
      <c r="O66" s="7">
        <f t="shared" ref="O66:O129" si="6">J66/G66</f>
        <v>0.73224965496089556</v>
      </c>
      <c r="P66" s="9">
        <f t="shared" si="5"/>
        <v>79.686235625557899</v>
      </c>
      <c r="Q66" s="7">
        <f t="shared" ref="Q66:Q129" si="7">H66/G66</f>
        <v>0.21131089301231917</v>
      </c>
      <c r="R66" s="9">
        <f t="shared" ref="R66:R129" si="8">F66/K66</f>
        <v>3.8697757034578577E-3</v>
      </c>
      <c r="V66">
        <v>91975</v>
      </c>
      <c r="W66">
        <v>72435</v>
      </c>
      <c r="Y66">
        <v>108799</v>
      </c>
      <c r="Z66">
        <v>89188</v>
      </c>
      <c r="AB66">
        <v>19611</v>
      </c>
      <c r="AC66">
        <v>81310</v>
      </c>
    </row>
    <row r="67" spans="1:29" x14ac:dyDescent="0.3">
      <c r="A67" t="s">
        <v>77</v>
      </c>
      <c r="B67" t="s">
        <v>512</v>
      </c>
      <c r="C67">
        <v>2023</v>
      </c>
      <c r="D67" s="2">
        <v>141680</v>
      </c>
      <c r="E67" s="2">
        <v>14000</v>
      </c>
      <c r="F67" s="2">
        <v>127680</v>
      </c>
      <c r="G67" s="2">
        <v>218268</v>
      </c>
      <c r="H67" s="2">
        <v>53304</v>
      </c>
      <c r="I67" s="2">
        <v>164964</v>
      </c>
      <c r="J67" s="2">
        <v>149485</v>
      </c>
      <c r="K67" s="2">
        <v>17914505</v>
      </c>
      <c r="L67" s="2">
        <v>5055723</v>
      </c>
      <c r="M67" s="2">
        <f t="shared" ref="M67:M130" si="9">D67/5</f>
        <v>28336</v>
      </c>
      <c r="N67" s="2">
        <f t="shared" ref="N67:N130" si="10">F67/5</f>
        <v>25536</v>
      </c>
      <c r="O67" s="7">
        <f t="shared" si="6"/>
        <v>0.68486906005461179</v>
      </c>
      <c r="P67" s="9">
        <f t="shared" ref="P67:P130" si="11">L67/K67*100</f>
        <v>28.221393781184577</v>
      </c>
      <c r="Q67" s="7">
        <f t="shared" si="7"/>
        <v>0.24421353565341691</v>
      </c>
      <c r="R67" s="9">
        <f t="shared" si="8"/>
        <v>7.1271854846114919E-3</v>
      </c>
      <c r="V67">
        <v>141007</v>
      </c>
      <c r="W67">
        <v>70117</v>
      </c>
      <c r="Y67">
        <v>156504</v>
      </c>
      <c r="Z67">
        <v>123433</v>
      </c>
      <c r="AB67">
        <v>33071</v>
      </c>
      <c r="AC67">
        <v>114600</v>
      </c>
    </row>
    <row r="68" spans="1:29" x14ac:dyDescent="0.3">
      <c r="A68" t="s">
        <v>78</v>
      </c>
      <c r="B68" t="s">
        <v>512</v>
      </c>
      <c r="C68">
        <v>2023</v>
      </c>
      <c r="D68" s="2">
        <v>158940</v>
      </c>
      <c r="E68" s="2">
        <v>48494</v>
      </c>
      <c r="F68" s="2">
        <v>110446</v>
      </c>
      <c r="G68" s="2">
        <v>133819</v>
      </c>
      <c r="H68" s="2">
        <v>27161</v>
      </c>
      <c r="I68" s="2">
        <v>106658</v>
      </c>
      <c r="J68" s="2">
        <v>102576</v>
      </c>
      <c r="K68" s="2">
        <v>7648790</v>
      </c>
      <c r="L68" s="2">
        <v>6763024</v>
      </c>
      <c r="M68" s="2">
        <f t="shared" si="9"/>
        <v>31788</v>
      </c>
      <c r="N68" s="2">
        <f t="shared" si="10"/>
        <v>22089.200000000001</v>
      </c>
      <c r="O68" s="7">
        <f t="shared" si="6"/>
        <v>0.76652792204395492</v>
      </c>
      <c r="P68" s="9">
        <f t="shared" si="11"/>
        <v>88.419527794592341</v>
      </c>
      <c r="Q68" s="7">
        <f t="shared" si="7"/>
        <v>0.20296818837384825</v>
      </c>
      <c r="R68" s="9">
        <f t="shared" si="8"/>
        <v>1.4439669542502802E-2</v>
      </c>
      <c r="V68">
        <v>141680</v>
      </c>
      <c r="W68">
        <v>127680</v>
      </c>
      <c r="Y68">
        <v>218268</v>
      </c>
      <c r="Z68">
        <v>164964</v>
      </c>
      <c r="AB68">
        <v>53304</v>
      </c>
      <c r="AC68">
        <v>149485</v>
      </c>
    </row>
    <row r="69" spans="1:29" x14ac:dyDescent="0.3">
      <c r="A69" t="s">
        <v>79</v>
      </c>
      <c r="B69" t="s">
        <v>512</v>
      </c>
      <c r="C69">
        <v>2023</v>
      </c>
      <c r="D69" s="2">
        <v>144297</v>
      </c>
      <c r="E69" s="2">
        <v>35351</v>
      </c>
      <c r="F69" s="2">
        <v>108946</v>
      </c>
      <c r="G69" s="2">
        <v>217614</v>
      </c>
      <c r="H69" s="2">
        <v>30305</v>
      </c>
      <c r="I69" s="2">
        <v>187309</v>
      </c>
      <c r="J69" s="2">
        <v>175492</v>
      </c>
      <c r="K69" s="2">
        <v>8353597</v>
      </c>
      <c r="L69" s="2">
        <v>11454561</v>
      </c>
      <c r="M69" s="2">
        <f t="shared" si="9"/>
        <v>28859.4</v>
      </c>
      <c r="N69" s="2">
        <f t="shared" si="10"/>
        <v>21789.200000000001</v>
      </c>
      <c r="O69" s="7">
        <f t="shared" si="6"/>
        <v>0.806437085849256</v>
      </c>
      <c r="P69" s="9">
        <f t="shared" si="11"/>
        <v>137.12130235633825</v>
      </c>
      <c r="Q69" s="7">
        <f t="shared" si="7"/>
        <v>0.13926034170595641</v>
      </c>
      <c r="R69" s="9">
        <f t="shared" si="8"/>
        <v>1.304180702037697E-2</v>
      </c>
      <c r="V69">
        <v>158940</v>
      </c>
      <c r="W69">
        <v>110446</v>
      </c>
      <c r="Y69">
        <v>133819</v>
      </c>
      <c r="Z69">
        <v>106658</v>
      </c>
      <c r="AB69">
        <v>27161</v>
      </c>
      <c r="AC69">
        <v>102576</v>
      </c>
    </row>
    <row r="70" spans="1:29" x14ac:dyDescent="0.3">
      <c r="A70" t="s">
        <v>80</v>
      </c>
      <c r="B70" t="s">
        <v>512</v>
      </c>
      <c r="C70">
        <v>2023</v>
      </c>
      <c r="D70" s="2">
        <v>107458</v>
      </c>
      <c r="E70" s="2">
        <v>30358</v>
      </c>
      <c r="F70" s="2">
        <v>77100</v>
      </c>
      <c r="G70" s="2">
        <v>100367</v>
      </c>
      <c r="H70" s="2">
        <v>97745</v>
      </c>
      <c r="I70" s="2">
        <v>2622</v>
      </c>
      <c r="J70" s="2">
        <v>-5123</v>
      </c>
      <c r="K70" s="2">
        <v>5157164</v>
      </c>
      <c r="L70" s="2">
        <v>13617244</v>
      </c>
      <c r="M70" s="2">
        <f t="shared" si="9"/>
        <v>21491.599999999999</v>
      </c>
      <c r="N70" s="2">
        <f t="shared" si="10"/>
        <v>15420</v>
      </c>
      <c r="O70" s="7">
        <f t="shared" si="6"/>
        <v>-5.1042673388663605E-2</v>
      </c>
      <c r="P70" s="9">
        <f t="shared" si="11"/>
        <v>264.04520003629904</v>
      </c>
      <c r="Q70" s="7">
        <f t="shared" si="7"/>
        <v>0.97387587553678001</v>
      </c>
      <c r="R70" s="9">
        <f t="shared" si="8"/>
        <v>1.4950077212979846E-2</v>
      </c>
      <c r="V70">
        <v>144297</v>
      </c>
      <c r="W70">
        <v>108946</v>
      </c>
      <c r="Y70">
        <v>217614</v>
      </c>
      <c r="Z70">
        <v>187309</v>
      </c>
      <c r="AB70">
        <v>30305</v>
      </c>
      <c r="AC70">
        <v>175492</v>
      </c>
    </row>
    <row r="71" spans="1:29" x14ac:dyDescent="0.3">
      <c r="A71" t="s">
        <v>81</v>
      </c>
      <c r="B71" t="s">
        <v>512</v>
      </c>
      <c r="C71">
        <v>2023</v>
      </c>
      <c r="D71" s="2">
        <v>57543</v>
      </c>
      <c r="E71" s="2">
        <v>43496</v>
      </c>
      <c r="F71" s="2">
        <v>14047</v>
      </c>
      <c r="G71" s="2">
        <v>94739</v>
      </c>
      <c r="H71" s="2">
        <v>59425</v>
      </c>
      <c r="I71" s="2">
        <v>35314</v>
      </c>
      <c r="J71" s="2">
        <v>27326</v>
      </c>
      <c r="K71" s="2">
        <v>7640328</v>
      </c>
      <c r="L71" s="2">
        <v>12079703</v>
      </c>
      <c r="M71" s="2">
        <f t="shared" si="9"/>
        <v>11508.6</v>
      </c>
      <c r="N71" s="2">
        <f t="shared" si="10"/>
        <v>2809.4</v>
      </c>
      <c r="O71" s="7">
        <f t="shared" si="6"/>
        <v>0.28843454121322792</v>
      </c>
      <c r="P71" s="9">
        <f t="shared" si="11"/>
        <v>158.10450807871075</v>
      </c>
      <c r="Q71" s="7">
        <f t="shared" si="7"/>
        <v>0.62724960153685383</v>
      </c>
      <c r="R71" s="9">
        <f t="shared" si="8"/>
        <v>1.8385336336345769E-3</v>
      </c>
      <c r="V71">
        <v>107458</v>
      </c>
      <c r="W71">
        <v>77100</v>
      </c>
      <c r="Y71">
        <v>100367</v>
      </c>
      <c r="Z71">
        <v>2622</v>
      </c>
      <c r="AB71">
        <v>97745</v>
      </c>
      <c r="AC71">
        <v>-5123</v>
      </c>
    </row>
    <row r="72" spans="1:29" x14ac:dyDescent="0.3">
      <c r="A72" t="s">
        <v>82</v>
      </c>
      <c r="B72" t="s">
        <v>512</v>
      </c>
      <c r="C72">
        <v>2023</v>
      </c>
      <c r="D72" s="2">
        <v>97295</v>
      </c>
      <c r="E72" s="2">
        <v>27955</v>
      </c>
      <c r="F72" s="2">
        <v>69340</v>
      </c>
      <c r="G72" s="2">
        <v>127181</v>
      </c>
      <c r="H72" s="2">
        <v>85640</v>
      </c>
      <c r="I72" s="2">
        <v>41541</v>
      </c>
      <c r="J72" s="2">
        <v>37398</v>
      </c>
      <c r="K72" s="2">
        <v>9122263</v>
      </c>
      <c r="L72" s="2">
        <v>7594877</v>
      </c>
      <c r="M72" s="2">
        <f t="shared" si="9"/>
        <v>19459</v>
      </c>
      <c r="N72" s="2">
        <f t="shared" si="10"/>
        <v>13868</v>
      </c>
      <c r="O72" s="7">
        <f t="shared" si="6"/>
        <v>0.2940533570265999</v>
      </c>
      <c r="P72" s="9">
        <f t="shared" si="11"/>
        <v>83.256501155469863</v>
      </c>
      <c r="Q72" s="7">
        <f t="shared" si="7"/>
        <v>0.67337102240114477</v>
      </c>
      <c r="R72" s="9">
        <f t="shared" si="8"/>
        <v>7.6011840483002956E-3</v>
      </c>
      <c r="V72">
        <v>57543</v>
      </c>
      <c r="W72">
        <v>14047</v>
      </c>
      <c r="Y72">
        <v>94739</v>
      </c>
      <c r="Z72">
        <v>35314</v>
      </c>
      <c r="AB72">
        <v>59425</v>
      </c>
      <c r="AC72">
        <v>27326</v>
      </c>
    </row>
    <row r="73" spans="1:29" x14ac:dyDescent="0.3">
      <c r="A73" t="s">
        <v>83</v>
      </c>
      <c r="B73" t="s">
        <v>512</v>
      </c>
      <c r="C73">
        <v>2023</v>
      </c>
      <c r="D73" s="2">
        <v>111476</v>
      </c>
      <c r="E73" s="2">
        <v>54811</v>
      </c>
      <c r="F73" s="2">
        <v>56665</v>
      </c>
      <c r="G73" s="2">
        <v>112873</v>
      </c>
      <c r="H73" s="2">
        <v>35150</v>
      </c>
      <c r="I73" s="2">
        <v>77723</v>
      </c>
      <c r="J73" s="2">
        <v>70079</v>
      </c>
      <c r="K73" s="2">
        <v>11990102</v>
      </c>
      <c r="L73" s="2">
        <v>5734296</v>
      </c>
      <c r="M73" s="2">
        <f t="shared" si="9"/>
        <v>22295.200000000001</v>
      </c>
      <c r="N73" s="2">
        <f t="shared" si="10"/>
        <v>11333</v>
      </c>
      <c r="O73" s="7">
        <f t="shared" si="6"/>
        <v>0.62086592896441128</v>
      </c>
      <c r="P73" s="9">
        <f t="shared" si="11"/>
        <v>47.825247858608712</v>
      </c>
      <c r="Q73" s="7">
        <f t="shared" si="7"/>
        <v>0.31141194085388002</v>
      </c>
      <c r="R73" s="9">
        <f t="shared" si="8"/>
        <v>4.7259814803910756E-3</v>
      </c>
      <c r="V73">
        <v>97295</v>
      </c>
      <c r="W73">
        <v>69340</v>
      </c>
      <c r="Y73">
        <v>127181</v>
      </c>
      <c r="Z73">
        <v>41541</v>
      </c>
      <c r="AB73">
        <v>85640</v>
      </c>
      <c r="AC73">
        <v>37398</v>
      </c>
    </row>
    <row r="74" spans="1:29" x14ac:dyDescent="0.3">
      <c r="A74" t="s">
        <v>84</v>
      </c>
      <c r="B74" t="s">
        <v>512</v>
      </c>
      <c r="C74">
        <v>2023</v>
      </c>
      <c r="D74" s="2">
        <v>118450</v>
      </c>
      <c r="E74" s="2">
        <v>31352</v>
      </c>
      <c r="F74" s="2">
        <v>87098</v>
      </c>
      <c r="G74" s="2">
        <v>162167</v>
      </c>
      <c r="H74" s="2">
        <v>29397</v>
      </c>
      <c r="I74" s="2">
        <v>132770</v>
      </c>
      <c r="J74" s="2">
        <v>121983</v>
      </c>
      <c r="K74" s="2">
        <v>14615215</v>
      </c>
      <c r="L74" s="2">
        <v>6264908</v>
      </c>
      <c r="M74" s="2">
        <f t="shared" si="9"/>
        <v>23690</v>
      </c>
      <c r="N74" s="2">
        <f t="shared" si="10"/>
        <v>17419.599999999999</v>
      </c>
      <c r="O74" s="7">
        <f t="shared" si="6"/>
        <v>0.752206059185901</v>
      </c>
      <c r="P74" s="9">
        <f t="shared" si="11"/>
        <v>42.865657467235337</v>
      </c>
      <c r="Q74" s="7">
        <f t="shared" si="7"/>
        <v>0.18127609192992408</v>
      </c>
      <c r="R74" s="9">
        <f t="shared" si="8"/>
        <v>5.9594060025801882E-3</v>
      </c>
      <c r="V74">
        <v>111476</v>
      </c>
      <c r="W74">
        <v>56665</v>
      </c>
      <c r="Y74">
        <v>112873</v>
      </c>
      <c r="Z74">
        <v>77723</v>
      </c>
      <c r="AB74">
        <v>35150</v>
      </c>
      <c r="AC74">
        <v>70079</v>
      </c>
    </row>
    <row r="75" spans="1:29" x14ac:dyDescent="0.3">
      <c r="A75" t="s">
        <v>85</v>
      </c>
      <c r="B75" t="s">
        <v>512</v>
      </c>
      <c r="C75">
        <v>2023</v>
      </c>
      <c r="D75" s="2">
        <v>116234</v>
      </c>
      <c r="E75" s="2">
        <v>49954</v>
      </c>
      <c r="F75" s="2">
        <v>66280</v>
      </c>
      <c r="G75" s="2">
        <v>133560</v>
      </c>
      <c r="H75" s="2">
        <v>94459</v>
      </c>
      <c r="I75" s="2">
        <v>39101</v>
      </c>
      <c r="J75" s="2">
        <v>20322</v>
      </c>
      <c r="K75" s="2">
        <v>11486460</v>
      </c>
      <c r="L75" s="2">
        <v>9197323</v>
      </c>
      <c r="M75" s="2">
        <f t="shared" si="9"/>
        <v>23246.799999999999</v>
      </c>
      <c r="N75" s="2">
        <f t="shared" si="10"/>
        <v>13256</v>
      </c>
      <c r="O75" s="7">
        <f t="shared" si="6"/>
        <v>0.15215633423180594</v>
      </c>
      <c r="P75" s="9">
        <f t="shared" si="11"/>
        <v>80.070996634298126</v>
      </c>
      <c r="Q75" s="7">
        <f t="shared" si="7"/>
        <v>0.70724019167415397</v>
      </c>
      <c r="R75" s="9">
        <f t="shared" si="8"/>
        <v>5.7702721290980863E-3</v>
      </c>
      <c r="V75">
        <v>118450</v>
      </c>
      <c r="W75">
        <v>87098</v>
      </c>
      <c r="Y75">
        <v>162167</v>
      </c>
      <c r="Z75">
        <v>132770</v>
      </c>
      <c r="AB75">
        <v>29397</v>
      </c>
      <c r="AC75">
        <v>121983</v>
      </c>
    </row>
    <row r="76" spans="1:29" x14ac:dyDescent="0.3">
      <c r="A76" t="s">
        <v>86</v>
      </c>
      <c r="B76" t="s">
        <v>512</v>
      </c>
      <c r="C76">
        <v>2023</v>
      </c>
      <c r="D76" s="2">
        <v>109163</v>
      </c>
      <c r="E76" s="2">
        <v>61934</v>
      </c>
      <c r="F76" s="2">
        <v>47229</v>
      </c>
      <c r="G76" s="2">
        <v>132124</v>
      </c>
      <c r="H76" s="2">
        <v>47307</v>
      </c>
      <c r="I76" s="2">
        <v>84817</v>
      </c>
      <c r="J76" s="2">
        <v>77331</v>
      </c>
      <c r="K76" s="2">
        <v>10382287</v>
      </c>
      <c r="L76" s="2">
        <v>10990340</v>
      </c>
      <c r="M76" s="2">
        <f t="shared" si="9"/>
        <v>21832.6</v>
      </c>
      <c r="N76" s="2">
        <f t="shared" si="10"/>
        <v>9445.7999999999993</v>
      </c>
      <c r="O76" s="7">
        <f t="shared" si="6"/>
        <v>0.58529109018800518</v>
      </c>
      <c r="P76" s="9">
        <f t="shared" si="11"/>
        <v>105.85663833026385</v>
      </c>
      <c r="Q76" s="7">
        <f t="shared" si="7"/>
        <v>0.35805001362356575</v>
      </c>
      <c r="R76" s="9">
        <f t="shared" si="8"/>
        <v>4.5489977304615063E-3</v>
      </c>
      <c r="V76">
        <v>116234</v>
      </c>
      <c r="W76">
        <v>66280</v>
      </c>
      <c r="Y76">
        <v>133560</v>
      </c>
      <c r="Z76">
        <v>39101</v>
      </c>
      <c r="AB76">
        <v>94459</v>
      </c>
      <c r="AC76">
        <v>20322</v>
      </c>
    </row>
    <row r="77" spans="1:29" x14ac:dyDescent="0.3">
      <c r="A77" t="s">
        <v>87</v>
      </c>
      <c r="B77" t="s">
        <v>512</v>
      </c>
      <c r="C77">
        <v>2023</v>
      </c>
      <c r="D77" s="2">
        <v>152795</v>
      </c>
      <c r="E77" s="2">
        <v>21130</v>
      </c>
      <c r="F77" s="2">
        <v>131665</v>
      </c>
      <c r="G77" s="2">
        <v>239173</v>
      </c>
      <c r="H77" s="2">
        <v>75566</v>
      </c>
      <c r="I77" s="2">
        <v>163607</v>
      </c>
      <c r="J77" s="2">
        <v>160440</v>
      </c>
      <c r="K77" s="2">
        <v>7386488</v>
      </c>
      <c r="L77" s="2">
        <v>3787494</v>
      </c>
      <c r="M77" s="2">
        <f t="shared" si="9"/>
        <v>30559</v>
      </c>
      <c r="N77" s="2">
        <f t="shared" si="10"/>
        <v>26333</v>
      </c>
      <c r="O77" s="7">
        <f t="shared" si="6"/>
        <v>0.67081150464308259</v>
      </c>
      <c r="P77" s="9">
        <f t="shared" si="11"/>
        <v>51.275978516447871</v>
      </c>
      <c r="Q77" s="7">
        <f t="shared" si="7"/>
        <v>0.3159470341551931</v>
      </c>
      <c r="R77" s="9">
        <f t="shared" si="8"/>
        <v>1.7825115264520838E-2</v>
      </c>
      <c r="V77">
        <v>109163</v>
      </c>
      <c r="W77">
        <v>47229</v>
      </c>
      <c r="Y77">
        <v>132124</v>
      </c>
      <c r="Z77">
        <v>84817</v>
      </c>
      <c r="AB77">
        <v>47307</v>
      </c>
      <c r="AC77">
        <v>77331</v>
      </c>
    </row>
    <row r="78" spans="1:29" x14ac:dyDescent="0.3">
      <c r="A78" t="s">
        <v>88</v>
      </c>
      <c r="B78" t="s">
        <v>512</v>
      </c>
      <c r="C78">
        <v>2023</v>
      </c>
      <c r="D78" s="2">
        <v>134076</v>
      </c>
      <c r="E78" s="2">
        <v>31545</v>
      </c>
      <c r="F78" s="2">
        <v>102531</v>
      </c>
      <c r="G78" s="2">
        <v>144220</v>
      </c>
      <c r="H78" s="2">
        <v>26174</v>
      </c>
      <c r="I78" s="2">
        <v>118046</v>
      </c>
      <c r="J78" s="2">
        <v>111317</v>
      </c>
      <c r="K78" s="2">
        <v>5533636</v>
      </c>
      <c r="L78" s="2">
        <v>14426978</v>
      </c>
      <c r="M78" s="2">
        <f t="shared" si="9"/>
        <v>26815.200000000001</v>
      </c>
      <c r="N78" s="2">
        <f t="shared" si="10"/>
        <v>20506.2</v>
      </c>
      <c r="O78" s="7">
        <f t="shared" si="6"/>
        <v>0.77185549854389124</v>
      </c>
      <c r="P78" s="9">
        <f t="shared" si="11"/>
        <v>260.71425731652749</v>
      </c>
      <c r="Q78" s="7">
        <f t="shared" si="7"/>
        <v>0.1814866176674525</v>
      </c>
      <c r="R78" s="9">
        <f t="shared" si="8"/>
        <v>1.8528685298418616E-2</v>
      </c>
      <c r="V78">
        <v>152795</v>
      </c>
      <c r="W78">
        <v>131665</v>
      </c>
      <c r="Y78">
        <v>239173</v>
      </c>
      <c r="Z78">
        <v>163607</v>
      </c>
      <c r="AB78">
        <v>75566</v>
      </c>
      <c r="AC78">
        <v>160440</v>
      </c>
    </row>
    <row r="79" spans="1:29" x14ac:dyDescent="0.3">
      <c r="A79" t="s">
        <v>89</v>
      </c>
      <c r="B79" t="s">
        <v>512</v>
      </c>
      <c r="C79">
        <v>2023</v>
      </c>
      <c r="D79" s="2">
        <v>88102</v>
      </c>
      <c r="E79" s="2">
        <v>16801</v>
      </c>
      <c r="F79" s="2">
        <v>71301</v>
      </c>
      <c r="G79" s="2">
        <v>163568</v>
      </c>
      <c r="H79" s="2">
        <v>63136</v>
      </c>
      <c r="I79" s="2">
        <v>100432</v>
      </c>
      <c r="J79" s="2">
        <v>81095</v>
      </c>
      <c r="K79" s="2">
        <v>9426219</v>
      </c>
      <c r="L79" s="2">
        <v>13923237</v>
      </c>
      <c r="M79" s="2">
        <f t="shared" si="9"/>
        <v>17620.400000000001</v>
      </c>
      <c r="N79" s="2">
        <f t="shared" si="10"/>
        <v>14260.2</v>
      </c>
      <c r="O79" s="7">
        <f t="shared" si="6"/>
        <v>0.49578768463269102</v>
      </c>
      <c r="P79" s="9">
        <f t="shared" si="11"/>
        <v>147.70754848789318</v>
      </c>
      <c r="Q79" s="7">
        <f t="shared" si="7"/>
        <v>0.38599237014574977</v>
      </c>
      <c r="R79" s="9">
        <f t="shared" si="8"/>
        <v>7.5641145192998378E-3</v>
      </c>
      <c r="V79">
        <v>134076</v>
      </c>
      <c r="W79">
        <v>102531</v>
      </c>
      <c r="Y79">
        <v>144220</v>
      </c>
      <c r="Z79">
        <v>118046</v>
      </c>
      <c r="AB79">
        <v>26174</v>
      </c>
      <c r="AC79">
        <v>111317</v>
      </c>
    </row>
    <row r="80" spans="1:29" x14ac:dyDescent="0.3">
      <c r="A80" t="s">
        <v>90</v>
      </c>
      <c r="B80" t="s">
        <v>512</v>
      </c>
      <c r="C80">
        <v>2023</v>
      </c>
      <c r="D80" s="2">
        <v>51542</v>
      </c>
      <c r="E80" s="2">
        <v>31677</v>
      </c>
      <c r="F80" s="2">
        <v>19865</v>
      </c>
      <c r="G80" s="2">
        <v>86597</v>
      </c>
      <c r="H80" s="2">
        <v>65343</v>
      </c>
      <c r="I80" s="2">
        <v>21254</v>
      </c>
      <c r="J80" s="2">
        <v>12941</v>
      </c>
      <c r="K80" s="2">
        <v>14106824</v>
      </c>
      <c r="L80" s="2">
        <v>9646705</v>
      </c>
      <c r="M80" s="2">
        <f t="shared" si="9"/>
        <v>10308.4</v>
      </c>
      <c r="N80" s="2">
        <f t="shared" si="10"/>
        <v>3973</v>
      </c>
      <c r="O80" s="7">
        <f t="shared" si="6"/>
        <v>0.14943935702160582</v>
      </c>
      <c r="P80" s="9">
        <f t="shared" si="11"/>
        <v>68.383251963730459</v>
      </c>
      <c r="Q80" s="7">
        <f t="shared" si="7"/>
        <v>0.75456424587456838</v>
      </c>
      <c r="R80" s="9">
        <f t="shared" si="8"/>
        <v>1.4081837272514352E-3</v>
      </c>
      <c r="V80">
        <v>88102</v>
      </c>
      <c r="W80">
        <v>71301</v>
      </c>
      <c r="Y80">
        <v>163568</v>
      </c>
      <c r="Z80">
        <v>100432</v>
      </c>
      <c r="AB80">
        <v>63136</v>
      </c>
      <c r="AC80">
        <v>81095</v>
      </c>
    </row>
    <row r="81" spans="1:29" x14ac:dyDescent="0.3">
      <c r="A81" t="s">
        <v>91</v>
      </c>
      <c r="B81" t="s">
        <v>512</v>
      </c>
      <c r="C81">
        <v>2023</v>
      </c>
      <c r="D81" s="2">
        <v>69065</v>
      </c>
      <c r="E81" s="2">
        <v>64693</v>
      </c>
      <c r="F81" s="2">
        <v>4372</v>
      </c>
      <c r="G81" s="2">
        <v>51334</v>
      </c>
      <c r="H81" s="2">
        <v>43295</v>
      </c>
      <c r="I81" s="2">
        <v>8039</v>
      </c>
      <c r="J81" s="2">
        <v>-7768</v>
      </c>
      <c r="K81" s="2">
        <v>19837568</v>
      </c>
      <c r="L81" s="2">
        <v>9243669</v>
      </c>
      <c r="M81" s="2">
        <f t="shared" si="9"/>
        <v>13813</v>
      </c>
      <c r="N81" s="2">
        <f t="shared" si="10"/>
        <v>874.4</v>
      </c>
      <c r="O81" s="7">
        <f t="shared" si="6"/>
        <v>-0.1513227100946741</v>
      </c>
      <c r="P81" s="9">
        <f t="shared" si="11"/>
        <v>46.596785452732917</v>
      </c>
      <c r="Q81" s="7">
        <f t="shared" si="7"/>
        <v>0.8433981376865235</v>
      </c>
      <c r="R81" s="9">
        <f t="shared" si="8"/>
        <v>2.2038991876423562E-4</v>
      </c>
      <c r="V81">
        <v>51542</v>
      </c>
      <c r="W81">
        <v>19865</v>
      </c>
      <c r="Y81">
        <v>86597</v>
      </c>
      <c r="Z81">
        <v>21254</v>
      </c>
      <c r="AB81">
        <v>65343</v>
      </c>
      <c r="AC81">
        <v>12941</v>
      </c>
    </row>
    <row r="82" spans="1:29" x14ac:dyDescent="0.3">
      <c r="A82" t="s">
        <v>92</v>
      </c>
      <c r="B82" t="s">
        <v>512</v>
      </c>
      <c r="C82">
        <v>2024</v>
      </c>
      <c r="D82" s="2">
        <v>182396</v>
      </c>
      <c r="E82" s="2">
        <v>45909</v>
      </c>
      <c r="F82" s="2">
        <v>136487</v>
      </c>
      <c r="G82" s="2">
        <v>245826</v>
      </c>
      <c r="H82" s="2">
        <v>34870</v>
      </c>
      <c r="I82" s="2">
        <v>210956</v>
      </c>
      <c r="J82" s="2">
        <v>207146</v>
      </c>
      <c r="K82" s="2">
        <v>17831595</v>
      </c>
      <c r="L82" s="2">
        <v>11415398</v>
      </c>
      <c r="M82" s="2">
        <f t="shared" si="9"/>
        <v>36479.199999999997</v>
      </c>
      <c r="N82" s="2">
        <f t="shared" si="10"/>
        <v>27297.4</v>
      </c>
      <c r="O82" s="7">
        <f t="shared" si="6"/>
        <v>0.84265293337563973</v>
      </c>
      <c r="P82" s="9">
        <f t="shared" si="11"/>
        <v>64.017817811586681</v>
      </c>
      <c r="Q82" s="7">
        <f t="shared" si="7"/>
        <v>0.14184829920350167</v>
      </c>
      <c r="R82" s="9">
        <f t="shared" si="8"/>
        <v>7.65422274339452E-3</v>
      </c>
      <c r="V82">
        <v>69065</v>
      </c>
      <c r="W82">
        <v>4372</v>
      </c>
      <c r="Y82">
        <v>51334</v>
      </c>
      <c r="Z82">
        <v>8039</v>
      </c>
      <c r="AB82">
        <v>43295</v>
      </c>
      <c r="AC82">
        <v>-7768</v>
      </c>
    </row>
    <row r="83" spans="1:29" x14ac:dyDescent="0.3">
      <c r="A83" t="s">
        <v>93</v>
      </c>
      <c r="B83" t="s">
        <v>512</v>
      </c>
      <c r="C83">
        <v>2024</v>
      </c>
      <c r="D83" s="2">
        <v>168874</v>
      </c>
      <c r="E83" s="2">
        <v>35289</v>
      </c>
      <c r="F83" s="2">
        <v>133585</v>
      </c>
      <c r="G83" s="2">
        <v>208714</v>
      </c>
      <c r="H83" s="2">
        <v>30485</v>
      </c>
      <c r="I83" s="2">
        <v>178229</v>
      </c>
      <c r="J83" s="2">
        <v>164515</v>
      </c>
      <c r="K83" s="2">
        <v>17276465</v>
      </c>
      <c r="L83" s="2">
        <v>7984445</v>
      </c>
      <c r="M83" s="2">
        <f t="shared" si="9"/>
        <v>33774.800000000003</v>
      </c>
      <c r="N83" s="2">
        <f t="shared" si="10"/>
        <v>26717</v>
      </c>
      <c r="O83" s="7">
        <f t="shared" si="6"/>
        <v>0.78823174295926479</v>
      </c>
      <c r="P83" s="9">
        <f t="shared" si="11"/>
        <v>46.215733369065951</v>
      </c>
      <c r="Q83" s="7">
        <f t="shared" si="7"/>
        <v>0.14606111712678593</v>
      </c>
      <c r="R83" s="9">
        <f t="shared" si="8"/>
        <v>7.7321952147039342E-3</v>
      </c>
      <c r="V83">
        <v>182396</v>
      </c>
      <c r="W83">
        <v>136487</v>
      </c>
      <c r="Y83">
        <v>245826</v>
      </c>
      <c r="Z83">
        <v>210956</v>
      </c>
      <c r="AB83">
        <v>34870</v>
      </c>
      <c r="AC83">
        <v>207146</v>
      </c>
    </row>
    <row r="84" spans="1:29" x14ac:dyDescent="0.3">
      <c r="A84" t="s">
        <v>94</v>
      </c>
      <c r="B84" t="s">
        <v>512</v>
      </c>
      <c r="C84">
        <v>2024</v>
      </c>
      <c r="D84" s="2">
        <v>173961</v>
      </c>
      <c r="E84" s="2">
        <v>40355</v>
      </c>
      <c r="F84" s="2">
        <v>133606</v>
      </c>
      <c r="G84" s="2">
        <v>209377</v>
      </c>
      <c r="H84" s="2">
        <v>72799</v>
      </c>
      <c r="I84" s="2">
        <v>136578</v>
      </c>
      <c r="J84" s="2">
        <v>121462</v>
      </c>
      <c r="K84" s="2">
        <v>15642302</v>
      </c>
      <c r="L84" s="2">
        <v>6319144</v>
      </c>
      <c r="M84" s="2">
        <f t="shared" si="9"/>
        <v>34792.199999999997</v>
      </c>
      <c r="N84" s="2">
        <f t="shared" si="10"/>
        <v>26721.200000000001</v>
      </c>
      <c r="O84" s="7">
        <f t="shared" si="6"/>
        <v>0.58011147356204362</v>
      </c>
      <c r="P84" s="9">
        <f t="shared" si="11"/>
        <v>40.397787998211513</v>
      </c>
      <c r="Q84" s="7">
        <f t="shared" si="7"/>
        <v>0.34769339516756853</v>
      </c>
      <c r="R84" s="9">
        <f t="shared" si="8"/>
        <v>8.5413259506177536E-3</v>
      </c>
      <c r="V84">
        <v>168874</v>
      </c>
      <c r="W84">
        <v>133585</v>
      </c>
      <c r="Y84">
        <v>208714</v>
      </c>
      <c r="Z84">
        <v>178229</v>
      </c>
      <c r="AB84">
        <v>30485</v>
      </c>
      <c r="AC84">
        <v>164515</v>
      </c>
    </row>
    <row r="85" spans="1:29" x14ac:dyDescent="0.3">
      <c r="A85" t="s">
        <v>95</v>
      </c>
      <c r="B85" t="s">
        <v>512</v>
      </c>
      <c r="C85">
        <v>2024</v>
      </c>
      <c r="D85" s="2">
        <v>92918</v>
      </c>
      <c r="E85" s="2">
        <v>62224</v>
      </c>
      <c r="F85" s="2">
        <v>30694</v>
      </c>
      <c r="G85" s="2">
        <v>89992</v>
      </c>
      <c r="H85" s="2">
        <v>95219</v>
      </c>
      <c r="I85" s="2">
        <v>-5227</v>
      </c>
      <c r="J85" s="2">
        <v>-7731</v>
      </c>
      <c r="K85" s="2">
        <v>9949499</v>
      </c>
      <c r="L85" s="2">
        <v>5387312</v>
      </c>
      <c r="M85" s="2">
        <f t="shared" si="9"/>
        <v>18583.599999999999</v>
      </c>
      <c r="N85" s="2">
        <f t="shared" si="10"/>
        <v>6138.8</v>
      </c>
      <c r="O85" s="7">
        <f t="shared" si="6"/>
        <v>-8.5907636234331938E-2</v>
      </c>
      <c r="P85" s="9">
        <f t="shared" si="11"/>
        <v>54.146565570789043</v>
      </c>
      <c r="Q85" s="7">
        <f t="shared" si="7"/>
        <v>1.0580829407058405</v>
      </c>
      <c r="R85" s="9">
        <f t="shared" si="8"/>
        <v>3.0849794547444047E-3</v>
      </c>
      <c r="V85">
        <v>173961</v>
      </c>
      <c r="W85">
        <v>133606</v>
      </c>
      <c r="Y85">
        <v>209377</v>
      </c>
      <c r="Z85">
        <v>136578</v>
      </c>
      <c r="AB85">
        <v>72799</v>
      </c>
      <c r="AC85">
        <v>121462</v>
      </c>
    </row>
    <row r="86" spans="1:29" x14ac:dyDescent="0.3">
      <c r="A86" t="s">
        <v>96</v>
      </c>
      <c r="B86" t="s">
        <v>512</v>
      </c>
      <c r="C86">
        <v>2024</v>
      </c>
      <c r="D86" s="2">
        <v>73960</v>
      </c>
      <c r="E86" s="2">
        <v>43591</v>
      </c>
      <c r="F86" s="2">
        <v>30369</v>
      </c>
      <c r="G86" s="2">
        <v>133217</v>
      </c>
      <c r="H86" s="2">
        <v>82641</v>
      </c>
      <c r="I86" s="2">
        <v>50576</v>
      </c>
      <c r="J86" s="2">
        <v>44949</v>
      </c>
      <c r="K86" s="2">
        <v>10747372</v>
      </c>
      <c r="L86" s="2">
        <v>7848287</v>
      </c>
      <c r="M86" s="2">
        <f t="shared" si="9"/>
        <v>14792</v>
      </c>
      <c r="N86" s="2">
        <f t="shared" si="10"/>
        <v>6073.8</v>
      </c>
      <c r="O86" s="7">
        <f t="shared" si="6"/>
        <v>0.33741189187566151</v>
      </c>
      <c r="P86" s="9">
        <f t="shared" si="11"/>
        <v>73.025173037650504</v>
      </c>
      <c r="Q86" s="7">
        <f t="shared" si="7"/>
        <v>0.62034875428811642</v>
      </c>
      <c r="R86" s="9">
        <f t="shared" si="8"/>
        <v>2.8257140443263711E-3</v>
      </c>
      <c r="V86">
        <v>92918</v>
      </c>
      <c r="W86">
        <v>30694</v>
      </c>
      <c r="Y86">
        <v>89992</v>
      </c>
      <c r="Z86">
        <v>-5227</v>
      </c>
      <c r="AB86">
        <v>95219</v>
      </c>
      <c r="AC86">
        <v>-7731</v>
      </c>
    </row>
    <row r="87" spans="1:29" x14ac:dyDescent="0.3">
      <c r="A87" t="s">
        <v>97</v>
      </c>
      <c r="B87" t="s">
        <v>512</v>
      </c>
      <c r="C87">
        <v>2024</v>
      </c>
      <c r="D87" s="2">
        <v>84620</v>
      </c>
      <c r="E87" s="2">
        <v>30559</v>
      </c>
      <c r="F87" s="2">
        <v>54061</v>
      </c>
      <c r="G87" s="2">
        <v>167106</v>
      </c>
      <c r="H87" s="2">
        <v>76642</v>
      </c>
      <c r="I87" s="2">
        <v>90464</v>
      </c>
      <c r="J87" s="2">
        <v>77461</v>
      </c>
      <c r="K87" s="2">
        <v>19963940</v>
      </c>
      <c r="L87" s="2">
        <v>3423570</v>
      </c>
      <c r="M87" s="2">
        <f t="shared" si="9"/>
        <v>16924</v>
      </c>
      <c r="N87" s="2">
        <f t="shared" si="10"/>
        <v>10812.2</v>
      </c>
      <c r="O87" s="7">
        <f t="shared" si="6"/>
        <v>0.46354409775830907</v>
      </c>
      <c r="P87" s="9">
        <f t="shared" si="11"/>
        <v>17.148769230923357</v>
      </c>
      <c r="Q87" s="7">
        <f t="shared" si="7"/>
        <v>0.45864301700716908</v>
      </c>
      <c r="R87" s="9">
        <f t="shared" si="8"/>
        <v>2.7079324021210241E-3</v>
      </c>
      <c r="V87">
        <v>73960</v>
      </c>
      <c r="W87">
        <v>30369</v>
      </c>
      <c r="Y87">
        <v>133217</v>
      </c>
      <c r="Z87">
        <v>50576</v>
      </c>
      <c r="AB87">
        <v>82641</v>
      </c>
      <c r="AC87">
        <v>44949</v>
      </c>
    </row>
    <row r="88" spans="1:29" x14ac:dyDescent="0.3">
      <c r="A88" t="s">
        <v>98</v>
      </c>
      <c r="B88" t="s">
        <v>512</v>
      </c>
      <c r="C88">
        <v>2024</v>
      </c>
      <c r="D88" s="2">
        <v>63843</v>
      </c>
      <c r="E88" s="2">
        <v>27640</v>
      </c>
      <c r="F88" s="2">
        <v>36203</v>
      </c>
      <c r="G88" s="2">
        <v>108731</v>
      </c>
      <c r="H88" s="2">
        <v>53413</v>
      </c>
      <c r="I88" s="2">
        <v>55318</v>
      </c>
      <c r="J88" s="2">
        <v>43730</v>
      </c>
      <c r="K88" s="2">
        <v>11925877</v>
      </c>
      <c r="L88" s="2">
        <v>12805685</v>
      </c>
      <c r="M88" s="2">
        <f t="shared" si="9"/>
        <v>12768.6</v>
      </c>
      <c r="N88" s="2">
        <f t="shared" si="10"/>
        <v>7240.6</v>
      </c>
      <c r="O88" s="7">
        <f t="shared" si="6"/>
        <v>0.40218520936991292</v>
      </c>
      <c r="P88" s="9">
        <f t="shared" si="11"/>
        <v>107.37730231495763</v>
      </c>
      <c r="Q88" s="7">
        <f t="shared" si="7"/>
        <v>0.49123984880116989</v>
      </c>
      <c r="R88" s="9">
        <f t="shared" si="8"/>
        <v>3.0356677332828439E-3</v>
      </c>
      <c r="V88">
        <v>84620</v>
      </c>
      <c r="W88">
        <v>54061</v>
      </c>
      <c r="Y88">
        <v>167106</v>
      </c>
      <c r="Z88">
        <v>90464</v>
      </c>
      <c r="AB88">
        <v>76642</v>
      </c>
      <c r="AC88">
        <v>77461</v>
      </c>
    </row>
    <row r="89" spans="1:29" x14ac:dyDescent="0.3">
      <c r="A89" t="s">
        <v>99</v>
      </c>
      <c r="B89" t="s">
        <v>512</v>
      </c>
      <c r="C89">
        <v>2024</v>
      </c>
      <c r="D89" s="2">
        <v>188186</v>
      </c>
      <c r="E89" s="2">
        <v>20975</v>
      </c>
      <c r="F89" s="2">
        <v>167211</v>
      </c>
      <c r="G89" s="2">
        <v>198234</v>
      </c>
      <c r="H89" s="2">
        <v>36447</v>
      </c>
      <c r="I89" s="2">
        <v>161787</v>
      </c>
      <c r="J89" s="2">
        <v>159120</v>
      </c>
      <c r="K89" s="2">
        <v>5160775</v>
      </c>
      <c r="L89" s="2">
        <v>10349369</v>
      </c>
      <c r="M89" s="2">
        <f t="shared" si="9"/>
        <v>37637.199999999997</v>
      </c>
      <c r="N89" s="2">
        <f t="shared" si="10"/>
        <v>33442.199999999997</v>
      </c>
      <c r="O89" s="7">
        <f t="shared" si="6"/>
        <v>0.80268773267956051</v>
      </c>
      <c r="P89" s="9">
        <f t="shared" si="11"/>
        <v>200.53904694546847</v>
      </c>
      <c r="Q89" s="7">
        <f t="shared" si="7"/>
        <v>0.1838584702926844</v>
      </c>
      <c r="R89" s="9">
        <f t="shared" si="8"/>
        <v>3.2400366224065183E-2</v>
      </c>
      <c r="V89">
        <v>63843</v>
      </c>
      <c r="W89">
        <v>36203</v>
      </c>
      <c r="Y89">
        <v>108731</v>
      </c>
      <c r="Z89">
        <v>55318</v>
      </c>
      <c r="AB89">
        <v>53413</v>
      </c>
      <c r="AC89">
        <v>43730</v>
      </c>
    </row>
    <row r="90" spans="1:29" x14ac:dyDescent="0.3">
      <c r="A90" t="s">
        <v>100</v>
      </c>
      <c r="B90" t="s">
        <v>512</v>
      </c>
      <c r="C90">
        <v>2024</v>
      </c>
      <c r="D90" s="2">
        <v>96427</v>
      </c>
      <c r="E90" s="2">
        <v>71529</v>
      </c>
      <c r="F90" s="2">
        <v>24898</v>
      </c>
      <c r="G90" s="2">
        <v>129563</v>
      </c>
      <c r="H90" s="2">
        <v>46921</v>
      </c>
      <c r="I90" s="2">
        <v>82642</v>
      </c>
      <c r="J90" s="2">
        <v>80103</v>
      </c>
      <c r="K90" s="2">
        <v>9166500</v>
      </c>
      <c r="L90" s="2">
        <v>10467048</v>
      </c>
      <c r="M90" s="2">
        <f t="shared" si="9"/>
        <v>19285.400000000001</v>
      </c>
      <c r="N90" s="2">
        <f t="shared" si="10"/>
        <v>4979.6000000000004</v>
      </c>
      <c r="O90" s="7">
        <f t="shared" si="6"/>
        <v>0.61825521175026821</v>
      </c>
      <c r="P90" s="9">
        <f t="shared" si="11"/>
        <v>114.18805432826051</v>
      </c>
      <c r="Q90" s="7">
        <f t="shared" si="7"/>
        <v>0.36214814414609109</v>
      </c>
      <c r="R90" s="9">
        <f t="shared" si="8"/>
        <v>2.7161948399061801E-3</v>
      </c>
      <c r="V90">
        <v>188186</v>
      </c>
      <c r="W90">
        <v>167211</v>
      </c>
      <c r="Y90">
        <v>198234</v>
      </c>
      <c r="Z90">
        <v>161787</v>
      </c>
      <c r="AB90">
        <v>36447</v>
      </c>
      <c r="AC90">
        <v>159120</v>
      </c>
    </row>
    <row r="91" spans="1:29" x14ac:dyDescent="0.3">
      <c r="A91" t="s">
        <v>101</v>
      </c>
      <c r="B91" t="s">
        <v>512</v>
      </c>
      <c r="C91">
        <v>2024</v>
      </c>
      <c r="D91" s="2">
        <v>54835</v>
      </c>
      <c r="E91" s="2">
        <v>30159</v>
      </c>
      <c r="F91" s="2">
        <v>24676</v>
      </c>
      <c r="G91" s="2">
        <v>92281</v>
      </c>
      <c r="H91" s="2">
        <v>53088</v>
      </c>
      <c r="I91" s="2">
        <v>39193</v>
      </c>
      <c r="J91" s="2">
        <v>23977</v>
      </c>
      <c r="K91" s="2">
        <v>9511732</v>
      </c>
      <c r="L91" s="2">
        <v>8562067</v>
      </c>
      <c r="M91" s="2">
        <f t="shared" si="9"/>
        <v>10967</v>
      </c>
      <c r="N91" s="2">
        <f t="shared" si="10"/>
        <v>4935.2</v>
      </c>
      <c r="O91" s="7">
        <f t="shared" si="6"/>
        <v>0.25982596634193389</v>
      </c>
      <c r="P91" s="9">
        <f t="shared" si="11"/>
        <v>90.015856207891474</v>
      </c>
      <c r="Q91" s="7">
        <f t="shared" si="7"/>
        <v>0.57528635363726011</v>
      </c>
      <c r="R91" s="9">
        <f t="shared" si="8"/>
        <v>2.5942698974277239E-3</v>
      </c>
      <c r="V91">
        <v>96427</v>
      </c>
      <c r="W91">
        <v>24898</v>
      </c>
      <c r="Y91">
        <v>129563</v>
      </c>
      <c r="Z91">
        <v>82642</v>
      </c>
      <c r="AB91">
        <v>46921</v>
      </c>
      <c r="AC91">
        <v>80103</v>
      </c>
    </row>
    <row r="92" spans="1:29" x14ac:dyDescent="0.3">
      <c r="A92" t="s">
        <v>102</v>
      </c>
      <c r="B92" t="s">
        <v>512</v>
      </c>
      <c r="C92">
        <v>2024</v>
      </c>
      <c r="D92" s="2">
        <v>147007</v>
      </c>
      <c r="E92" s="2">
        <v>37532</v>
      </c>
      <c r="F92" s="2">
        <v>109475</v>
      </c>
      <c r="G92" s="2">
        <v>163824</v>
      </c>
      <c r="H92" s="2">
        <v>60445</v>
      </c>
      <c r="I92" s="2">
        <v>103379</v>
      </c>
      <c r="J92" s="2">
        <v>95666</v>
      </c>
      <c r="K92" s="2">
        <v>16066226</v>
      </c>
      <c r="L92" s="2">
        <v>3575278</v>
      </c>
      <c r="M92" s="2">
        <f t="shared" si="9"/>
        <v>29401.4</v>
      </c>
      <c r="N92" s="2">
        <f t="shared" si="10"/>
        <v>21895</v>
      </c>
      <c r="O92" s="7">
        <f t="shared" si="6"/>
        <v>0.58395595272975875</v>
      </c>
      <c r="P92" s="9">
        <f t="shared" si="11"/>
        <v>22.253377986840221</v>
      </c>
      <c r="Q92" s="7">
        <f t="shared" si="7"/>
        <v>0.36896303349936516</v>
      </c>
      <c r="R92" s="9">
        <f t="shared" si="8"/>
        <v>6.8139835702547696E-3</v>
      </c>
      <c r="V92">
        <v>54835</v>
      </c>
      <c r="W92">
        <v>24676</v>
      </c>
      <c r="Y92">
        <v>92281</v>
      </c>
      <c r="Z92">
        <v>39193</v>
      </c>
      <c r="AB92">
        <v>53088</v>
      </c>
      <c r="AC92">
        <v>23977</v>
      </c>
    </row>
    <row r="93" spans="1:29" x14ac:dyDescent="0.3">
      <c r="A93" t="s">
        <v>103</v>
      </c>
      <c r="B93" t="s">
        <v>512</v>
      </c>
      <c r="C93">
        <v>2024</v>
      </c>
      <c r="D93" s="2">
        <v>179473</v>
      </c>
      <c r="E93" s="2">
        <v>75545</v>
      </c>
      <c r="F93" s="2">
        <v>103928</v>
      </c>
      <c r="G93" s="2">
        <v>208719</v>
      </c>
      <c r="H93" s="2">
        <v>73141</v>
      </c>
      <c r="I93" s="2">
        <v>135578</v>
      </c>
      <c r="J93" s="2">
        <v>128454</v>
      </c>
      <c r="K93" s="2">
        <v>17582006</v>
      </c>
      <c r="L93" s="2">
        <v>7719607</v>
      </c>
      <c r="M93" s="2">
        <f t="shared" si="9"/>
        <v>35894.6</v>
      </c>
      <c r="N93" s="2">
        <f t="shared" si="10"/>
        <v>20785.599999999999</v>
      </c>
      <c r="O93" s="7">
        <f t="shared" si="6"/>
        <v>0.61543989766144913</v>
      </c>
      <c r="P93" s="9">
        <f t="shared" si="11"/>
        <v>43.906292603926993</v>
      </c>
      <c r="Q93" s="7">
        <f t="shared" si="7"/>
        <v>0.35042808752437488</v>
      </c>
      <c r="R93" s="9">
        <f t="shared" si="8"/>
        <v>5.9110433701364904E-3</v>
      </c>
      <c r="V93">
        <v>147007</v>
      </c>
      <c r="W93">
        <v>109475</v>
      </c>
      <c r="Y93">
        <v>163824</v>
      </c>
      <c r="Z93">
        <v>103379</v>
      </c>
      <c r="AB93">
        <v>60445</v>
      </c>
      <c r="AC93">
        <v>95666</v>
      </c>
    </row>
    <row r="94" spans="1:29" x14ac:dyDescent="0.3">
      <c r="A94" t="s">
        <v>104</v>
      </c>
      <c r="B94" t="s">
        <v>512</v>
      </c>
      <c r="C94">
        <v>2024</v>
      </c>
      <c r="D94" s="2">
        <v>111813</v>
      </c>
      <c r="E94" s="2">
        <v>37712</v>
      </c>
      <c r="F94" s="2">
        <v>74101</v>
      </c>
      <c r="G94" s="2">
        <v>102516</v>
      </c>
      <c r="H94" s="2">
        <v>77292</v>
      </c>
      <c r="I94" s="2">
        <v>25224</v>
      </c>
      <c r="J94" s="2">
        <v>19066</v>
      </c>
      <c r="K94" s="2">
        <v>15155224</v>
      </c>
      <c r="L94" s="2">
        <v>8001045</v>
      </c>
      <c r="M94" s="2">
        <f t="shared" si="9"/>
        <v>22362.6</v>
      </c>
      <c r="N94" s="2">
        <f t="shared" si="10"/>
        <v>14820.2</v>
      </c>
      <c r="O94" s="7">
        <f t="shared" si="6"/>
        <v>0.18598072496000626</v>
      </c>
      <c r="P94" s="9">
        <f t="shared" si="11"/>
        <v>52.793973879897784</v>
      </c>
      <c r="Q94" s="7">
        <f t="shared" si="7"/>
        <v>0.75395060283272852</v>
      </c>
      <c r="R94" s="9">
        <f t="shared" si="8"/>
        <v>4.8894691361869675E-3</v>
      </c>
      <c r="V94">
        <v>179473</v>
      </c>
      <c r="W94">
        <v>103928</v>
      </c>
      <c r="Y94">
        <v>208719</v>
      </c>
      <c r="Z94">
        <v>135578</v>
      </c>
      <c r="AB94">
        <v>73141</v>
      </c>
      <c r="AC94">
        <v>128454</v>
      </c>
    </row>
    <row r="95" spans="1:29" x14ac:dyDescent="0.3">
      <c r="A95" t="s">
        <v>105</v>
      </c>
      <c r="B95" t="s">
        <v>512</v>
      </c>
      <c r="C95">
        <v>2024</v>
      </c>
      <c r="D95" s="2">
        <v>56970</v>
      </c>
      <c r="E95" s="2">
        <v>56540</v>
      </c>
      <c r="F95" s="2">
        <v>430</v>
      </c>
      <c r="G95" s="2">
        <v>40814</v>
      </c>
      <c r="H95" s="2">
        <v>33017</v>
      </c>
      <c r="I95" s="2">
        <v>7797</v>
      </c>
      <c r="J95" s="2">
        <v>-4547</v>
      </c>
      <c r="K95" s="2">
        <v>8251298</v>
      </c>
      <c r="L95" s="2">
        <v>7465150</v>
      </c>
      <c r="M95" s="2">
        <f t="shared" si="9"/>
        <v>11394</v>
      </c>
      <c r="N95" s="2">
        <f t="shared" si="10"/>
        <v>86</v>
      </c>
      <c r="O95" s="7">
        <f t="shared" si="6"/>
        <v>-0.11140785024746411</v>
      </c>
      <c r="P95" s="9">
        <f t="shared" si="11"/>
        <v>90.472432337312256</v>
      </c>
      <c r="Q95" s="7">
        <f t="shared" si="7"/>
        <v>0.80896261086881949</v>
      </c>
      <c r="R95" s="9">
        <f t="shared" si="8"/>
        <v>5.2113013007165658E-5</v>
      </c>
      <c r="V95">
        <v>111813</v>
      </c>
      <c r="W95">
        <v>74101</v>
      </c>
      <c r="Y95">
        <v>102516</v>
      </c>
      <c r="Z95">
        <v>25224</v>
      </c>
      <c r="AB95">
        <v>77292</v>
      </c>
      <c r="AC95">
        <v>19066</v>
      </c>
    </row>
    <row r="96" spans="1:29" x14ac:dyDescent="0.3">
      <c r="A96" t="s">
        <v>106</v>
      </c>
      <c r="B96" t="s">
        <v>512</v>
      </c>
      <c r="C96">
        <v>2024</v>
      </c>
      <c r="D96" s="2">
        <v>181456</v>
      </c>
      <c r="E96" s="2">
        <v>10404</v>
      </c>
      <c r="F96" s="2">
        <v>171052</v>
      </c>
      <c r="G96" s="2">
        <v>231995</v>
      </c>
      <c r="H96" s="2">
        <v>62926</v>
      </c>
      <c r="I96" s="2">
        <v>169069</v>
      </c>
      <c r="J96" s="2">
        <v>154306</v>
      </c>
      <c r="K96" s="2">
        <v>6722320</v>
      </c>
      <c r="L96" s="2">
        <v>5332517</v>
      </c>
      <c r="M96" s="2">
        <f t="shared" si="9"/>
        <v>36291.199999999997</v>
      </c>
      <c r="N96" s="2">
        <f t="shared" si="10"/>
        <v>34210.400000000001</v>
      </c>
      <c r="O96" s="7">
        <f t="shared" si="6"/>
        <v>0.66512640358628417</v>
      </c>
      <c r="P96" s="9">
        <f t="shared" si="11"/>
        <v>79.325545347439572</v>
      </c>
      <c r="Q96" s="7">
        <f t="shared" si="7"/>
        <v>0.27123860428026464</v>
      </c>
      <c r="R96" s="9">
        <f t="shared" si="8"/>
        <v>2.5445381951469136E-2</v>
      </c>
      <c r="V96">
        <v>56970</v>
      </c>
      <c r="W96">
        <v>430</v>
      </c>
      <c r="Y96">
        <v>40814</v>
      </c>
      <c r="Z96">
        <v>7797</v>
      </c>
      <c r="AB96">
        <v>33017</v>
      </c>
      <c r="AC96">
        <v>-4547</v>
      </c>
    </row>
    <row r="97" spans="1:29" x14ac:dyDescent="0.3">
      <c r="A97" t="s">
        <v>107</v>
      </c>
      <c r="B97" t="s">
        <v>512</v>
      </c>
      <c r="C97">
        <v>2024</v>
      </c>
      <c r="D97" s="2">
        <v>130642</v>
      </c>
      <c r="E97" s="2">
        <v>60612</v>
      </c>
      <c r="F97" s="2">
        <v>70030</v>
      </c>
      <c r="G97" s="2">
        <v>113604</v>
      </c>
      <c r="H97" s="2">
        <v>38524</v>
      </c>
      <c r="I97" s="2">
        <v>75080</v>
      </c>
      <c r="J97" s="2">
        <v>69444</v>
      </c>
      <c r="K97" s="2">
        <v>19428836</v>
      </c>
      <c r="L97" s="2">
        <v>11551881</v>
      </c>
      <c r="M97" s="2">
        <f t="shared" si="9"/>
        <v>26128.400000000001</v>
      </c>
      <c r="N97" s="2">
        <f t="shared" si="10"/>
        <v>14006</v>
      </c>
      <c r="O97" s="7">
        <f t="shared" si="6"/>
        <v>0.61128129291222144</v>
      </c>
      <c r="P97" s="9">
        <f t="shared" si="11"/>
        <v>59.457401359505013</v>
      </c>
      <c r="Q97" s="7">
        <f t="shared" si="7"/>
        <v>0.33910777789514451</v>
      </c>
      <c r="R97" s="9">
        <f t="shared" si="8"/>
        <v>3.6044362101774908E-3</v>
      </c>
      <c r="V97">
        <v>181456</v>
      </c>
      <c r="W97">
        <v>171052</v>
      </c>
      <c r="Y97">
        <v>231995</v>
      </c>
      <c r="Z97">
        <v>169069</v>
      </c>
      <c r="AB97">
        <v>62926</v>
      </c>
      <c r="AC97">
        <v>154306</v>
      </c>
    </row>
    <row r="98" spans="1:29" x14ac:dyDescent="0.3">
      <c r="A98" t="s">
        <v>108</v>
      </c>
      <c r="B98" t="s">
        <v>512</v>
      </c>
      <c r="C98">
        <v>2024</v>
      </c>
      <c r="D98" s="2">
        <v>194528</v>
      </c>
      <c r="E98" s="2">
        <v>66397</v>
      </c>
      <c r="F98" s="2">
        <v>128131</v>
      </c>
      <c r="G98" s="2">
        <v>186896</v>
      </c>
      <c r="H98" s="2">
        <v>49816</v>
      </c>
      <c r="I98" s="2">
        <v>137080</v>
      </c>
      <c r="J98" s="2">
        <v>122742</v>
      </c>
      <c r="K98" s="2">
        <v>10558956</v>
      </c>
      <c r="L98" s="2">
        <v>6031756</v>
      </c>
      <c r="M98" s="2">
        <f t="shared" si="9"/>
        <v>38905.599999999999</v>
      </c>
      <c r="N98" s="2">
        <f t="shared" si="10"/>
        <v>25626.2</v>
      </c>
      <c r="O98" s="7">
        <f t="shared" si="6"/>
        <v>0.6567395770910025</v>
      </c>
      <c r="P98" s="9">
        <f t="shared" si="11"/>
        <v>57.124549055796805</v>
      </c>
      <c r="Q98" s="7">
        <f t="shared" si="7"/>
        <v>0.26654396027737354</v>
      </c>
      <c r="R98" s="9">
        <f t="shared" si="8"/>
        <v>1.2134817116389158E-2</v>
      </c>
      <c r="V98">
        <v>130642</v>
      </c>
      <c r="W98">
        <v>70030</v>
      </c>
      <c r="Y98">
        <v>113604</v>
      </c>
      <c r="Z98">
        <v>75080</v>
      </c>
      <c r="AB98">
        <v>38524</v>
      </c>
      <c r="AC98">
        <v>69444</v>
      </c>
    </row>
    <row r="99" spans="1:29" x14ac:dyDescent="0.3">
      <c r="A99" t="s">
        <v>109</v>
      </c>
      <c r="B99" t="s">
        <v>512</v>
      </c>
      <c r="C99">
        <v>2024</v>
      </c>
      <c r="D99" s="2">
        <v>107091</v>
      </c>
      <c r="E99" s="2">
        <v>31949</v>
      </c>
      <c r="F99" s="2">
        <v>75142</v>
      </c>
      <c r="G99" s="2">
        <v>165222</v>
      </c>
      <c r="H99" s="2">
        <v>52744</v>
      </c>
      <c r="I99" s="2">
        <v>112478</v>
      </c>
      <c r="J99" s="2">
        <v>97703</v>
      </c>
      <c r="K99" s="2">
        <v>9040479</v>
      </c>
      <c r="L99" s="2">
        <v>3092193</v>
      </c>
      <c r="M99" s="2">
        <f t="shared" si="9"/>
        <v>21418.2</v>
      </c>
      <c r="N99" s="2">
        <f t="shared" si="10"/>
        <v>15028.4</v>
      </c>
      <c r="O99" s="7">
        <f t="shared" si="6"/>
        <v>0.59134376777910935</v>
      </c>
      <c r="P99" s="9">
        <f t="shared" si="11"/>
        <v>34.203862428085948</v>
      </c>
      <c r="Q99" s="7">
        <f t="shared" si="7"/>
        <v>0.31923109513260944</v>
      </c>
      <c r="R99" s="9">
        <f t="shared" si="8"/>
        <v>8.3117277303558813E-3</v>
      </c>
      <c r="V99">
        <v>194528</v>
      </c>
      <c r="W99">
        <v>128131</v>
      </c>
      <c r="Y99">
        <v>186896</v>
      </c>
      <c r="Z99">
        <v>137080</v>
      </c>
      <c r="AB99">
        <v>49816</v>
      </c>
      <c r="AC99">
        <v>122742</v>
      </c>
    </row>
    <row r="100" spans="1:29" x14ac:dyDescent="0.3">
      <c r="A100" t="s">
        <v>110</v>
      </c>
      <c r="B100" t="s">
        <v>512</v>
      </c>
      <c r="C100">
        <v>2024</v>
      </c>
      <c r="D100" s="2">
        <v>86187</v>
      </c>
      <c r="E100" s="2">
        <v>17239</v>
      </c>
      <c r="F100" s="2">
        <v>68948</v>
      </c>
      <c r="G100" s="2">
        <v>103437</v>
      </c>
      <c r="H100" s="2">
        <v>73017</v>
      </c>
      <c r="I100" s="2">
        <v>30420</v>
      </c>
      <c r="J100" s="2">
        <v>18063</v>
      </c>
      <c r="K100" s="2">
        <v>18943554</v>
      </c>
      <c r="L100" s="2">
        <v>5715514</v>
      </c>
      <c r="M100" s="2">
        <f t="shared" si="9"/>
        <v>17237.400000000001</v>
      </c>
      <c r="N100" s="2">
        <f t="shared" si="10"/>
        <v>13789.6</v>
      </c>
      <c r="O100" s="7">
        <f t="shared" si="6"/>
        <v>0.17462803445575567</v>
      </c>
      <c r="P100" s="9">
        <f t="shared" si="11"/>
        <v>30.17128676065748</v>
      </c>
      <c r="Q100" s="7">
        <f t="shared" si="7"/>
        <v>0.70590794396589229</v>
      </c>
      <c r="R100" s="9">
        <f t="shared" si="8"/>
        <v>3.6396549454236517E-3</v>
      </c>
      <c r="V100">
        <v>107091</v>
      </c>
      <c r="W100">
        <v>75142</v>
      </c>
      <c r="Y100">
        <v>165222</v>
      </c>
      <c r="Z100">
        <v>112478</v>
      </c>
      <c r="AB100">
        <v>52744</v>
      </c>
      <c r="AC100">
        <v>97703</v>
      </c>
    </row>
    <row r="101" spans="1:29" x14ac:dyDescent="0.3">
      <c r="A101" t="s">
        <v>111</v>
      </c>
      <c r="B101" t="s">
        <v>512</v>
      </c>
      <c r="C101">
        <v>2024</v>
      </c>
      <c r="D101" s="2">
        <v>87131</v>
      </c>
      <c r="E101" s="2">
        <v>52944</v>
      </c>
      <c r="F101" s="2">
        <v>34187</v>
      </c>
      <c r="G101" s="2">
        <v>128150</v>
      </c>
      <c r="H101" s="2">
        <v>39285</v>
      </c>
      <c r="I101" s="2">
        <v>88865</v>
      </c>
      <c r="J101" s="2">
        <v>82007</v>
      </c>
      <c r="K101" s="2">
        <v>9892472</v>
      </c>
      <c r="L101" s="2">
        <v>3481680</v>
      </c>
      <c r="M101" s="2">
        <f t="shared" si="9"/>
        <v>17426.2</v>
      </c>
      <c r="N101" s="2">
        <f t="shared" si="10"/>
        <v>6837.4</v>
      </c>
      <c r="O101" s="7">
        <f t="shared" si="6"/>
        <v>0.63992976980101446</v>
      </c>
      <c r="P101" s="9">
        <f t="shared" si="11"/>
        <v>35.195247456854062</v>
      </c>
      <c r="Q101" s="7">
        <f t="shared" si="7"/>
        <v>0.30655481857198597</v>
      </c>
      <c r="R101" s="9">
        <f t="shared" si="8"/>
        <v>3.4558601732711499E-3</v>
      </c>
      <c r="V101">
        <v>86187</v>
      </c>
      <c r="W101">
        <v>68948</v>
      </c>
      <c r="Y101">
        <v>103437</v>
      </c>
      <c r="Z101">
        <v>30420</v>
      </c>
      <c r="AB101">
        <v>73017</v>
      </c>
      <c r="AC101">
        <v>18063</v>
      </c>
    </row>
    <row r="102" spans="1:29" x14ac:dyDescent="0.3">
      <c r="A102" t="s">
        <v>112</v>
      </c>
      <c r="B102" t="s">
        <v>513</v>
      </c>
      <c r="C102">
        <v>2020</v>
      </c>
      <c r="D102" s="2">
        <v>69198</v>
      </c>
      <c r="E102" s="2">
        <v>29758</v>
      </c>
      <c r="F102" s="2">
        <v>39440</v>
      </c>
      <c r="G102" s="2">
        <v>74694</v>
      </c>
      <c r="H102" s="2">
        <v>59238</v>
      </c>
      <c r="I102" s="2">
        <v>15456</v>
      </c>
      <c r="J102" s="2">
        <v>12204</v>
      </c>
      <c r="K102" s="2">
        <v>18409108</v>
      </c>
      <c r="L102" s="2">
        <v>14349901</v>
      </c>
      <c r="M102" s="2">
        <f t="shared" si="9"/>
        <v>13839.6</v>
      </c>
      <c r="N102" s="2">
        <f t="shared" si="10"/>
        <v>7888</v>
      </c>
      <c r="O102" s="7">
        <f t="shared" si="6"/>
        <v>0.16338661739898788</v>
      </c>
      <c r="P102" s="9">
        <f t="shared" si="11"/>
        <v>77.950007137771152</v>
      </c>
      <c r="Q102" s="7">
        <f t="shared" si="7"/>
        <v>0.79307574905614908</v>
      </c>
      <c r="R102" s="9">
        <f t="shared" si="8"/>
        <v>2.1424177640763475E-3</v>
      </c>
      <c r="V102">
        <v>87131</v>
      </c>
      <c r="W102">
        <v>34187</v>
      </c>
      <c r="Y102">
        <v>128150</v>
      </c>
      <c r="Z102">
        <v>88865</v>
      </c>
      <c r="AB102">
        <v>39285</v>
      </c>
      <c r="AC102">
        <v>82007</v>
      </c>
    </row>
    <row r="103" spans="1:29" x14ac:dyDescent="0.3">
      <c r="A103" t="s">
        <v>113</v>
      </c>
      <c r="B103" t="s">
        <v>513</v>
      </c>
      <c r="C103">
        <v>2020</v>
      </c>
      <c r="D103" s="2">
        <v>103682</v>
      </c>
      <c r="E103" s="2">
        <v>69494</v>
      </c>
      <c r="F103" s="2">
        <v>34188</v>
      </c>
      <c r="G103" s="2">
        <v>135505</v>
      </c>
      <c r="H103" s="2">
        <v>80215</v>
      </c>
      <c r="I103" s="2">
        <v>55290</v>
      </c>
      <c r="J103" s="2">
        <v>40239</v>
      </c>
      <c r="K103" s="2">
        <v>17589861</v>
      </c>
      <c r="L103" s="2">
        <v>14248945</v>
      </c>
      <c r="M103" s="2">
        <f t="shared" si="9"/>
        <v>20736.400000000001</v>
      </c>
      <c r="N103" s="2">
        <f t="shared" si="10"/>
        <v>6837.6</v>
      </c>
      <c r="O103" s="7">
        <f t="shared" si="6"/>
        <v>0.29695583188812219</v>
      </c>
      <c r="P103" s="9">
        <f t="shared" si="11"/>
        <v>81.006581007092677</v>
      </c>
      <c r="Q103" s="7">
        <f t="shared" si="7"/>
        <v>0.59197077598612602</v>
      </c>
      <c r="R103" s="9">
        <f t="shared" si="8"/>
        <v>1.9436196795415267E-3</v>
      </c>
      <c r="V103">
        <v>69198</v>
      </c>
      <c r="W103">
        <v>39440</v>
      </c>
      <c r="Y103">
        <v>74694</v>
      </c>
      <c r="Z103">
        <v>15456</v>
      </c>
      <c r="AB103">
        <v>59238</v>
      </c>
      <c r="AC103">
        <v>12204</v>
      </c>
    </row>
    <row r="104" spans="1:29" x14ac:dyDescent="0.3">
      <c r="A104" t="s">
        <v>114</v>
      </c>
      <c r="B104" t="s">
        <v>513</v>
      </c>
      <c r="C104">
        <v>2020</v>
      </c>
      <c r="D104" s="2">
        <v>105393</v>
      </c>
      <c r="E104" s="2">
        <v>16941</v>
      </c>
      <c r="F104" s="2">
        <v>88452</v>
      </c>
      <c r="G104" s="2">
        <v>134386</v>
      </c>
      <c r="H104" s="2">
        <v>38386</v>
      </c>
      <c r="I104" s="2">
        <v>96000</v>
      </c>
      <c r="J104" s="2">
        <v>83791</v>
      </c>
      <c r="K104" s="2">
        <v>7573619</v>
      </c>
      <c r="L104" s="2">
        <v>5453752</v>
      </c>
      <c r="M104" s="2">
        <f t="shared" si="9"/>
        <v>21078.6</v>
      </c>
      <c r="N104" s="2">
        <f t="shared" si="10"/>
        <v>17690.400000000001</v>
      </c>
      <c r="O104" s="7">
        <f t="shared" si="6"/>
        <v>0.62350988942300534</v>
      </c>
      <c r="P104" s="9">
        <f t="shared" si="11"/>
        <v>72.00985420576346</v>
      </c>
      <c r="Q104" s="7">
        <f t="shared" si="7"/>
        <v>0.28563987320107748</v>
      </c>
      <c r="R104" s="9">
        <f t="shared" si="8"/>
        <v>1.1678960877223954E-2</v>
      </c>
      <c r="V104">
        <v>103682</v>
      </c>
      <c r="W104">
        <v>34188</v>
      </c>
      <c r="Y104">
        <v>135505</v>
      </c>
      <c r="Z104">
        <v>55290</v>
      </c>
      <c r="AB104">
        <v>80215</v>
      </c>
      <c r="AC104">
        <v>40239</v>
      </c>
    </row>
    <row r="105" spans="1:29" x14ac:dyDescent="0.3">
      <c r="A105" t="s">
        <v>115</v>
      </c>
      <c r="B105" t="s">
        <v>513</v>
      </c>
      <c r="C105">
        <v>2020</v>
      </c>
      <c r="D105" s="2">
        <v>103413</v>
      </c>
      <c r="E105" s="2">
        <v>66800</v>
      </c>
      <c r="F105" s="2">
        <v>36613</v>
      </c>
      <c r="G105" s="2">
        <v>153852</v>
      </c>
      <c r="H105" s="2">
        <v>57318</v>
      </c>
      <c r="I105" s="2">
        <v>96534</v>
      </c>
      <c r="J105" s="2">
        <v>89897</v>
      </c>
      <c r="K105" s="2">
        <v>9264694</v>
      </c>
      <c r="L105" s="2">
        <v>3707689</v>
      </c>
      <c r="M105" s="2">
        <f t="shared" si="9"/>
        <v>20682.599999999999</v>
      </c>
      <c r="N105" s="2">
        <f t="shared" si="10"/>
        <v>7322.6</v>
      </c>
      <c r="O105" s="7">
        <f t="shared" si="6"/>
        <v>0.58430829628474112</v>
      </c>
      <c r="P105" s="9">
        <f t="shared" si="11"/>
        <v>40.019551644123382</v>
      </c>
      <c r="Q105" s="7">
        <f t="shared" si="7"/>
        <v>0.37255284299196628</v>
      </c>
      <c r="R105" s="9">
        <f t="shared" si="8"/>
        <v>3.9518844335279715E-3</v>
      </c>
      <c r="V105">
        <v>105393</v>
      </c>
      <c r="W105">
        <v>88452</v>
      </c>
      <c r="Y105">
        <v>134386</v>
      </c>
      <c r="Z105">
        <v>96000</v>
      </c>
      <c r="AB105">
        <v>38386</v>
      </c>
      <c r="AC105">
        <v>83791</v>
      </c>
    </row>
    <row r="106" spans="1:29" x14ac:dyDescent="0.3">
      <c r="A106" t="s">
        <v>116</v>
      </c>
      <c r="B106" t="s">
        <v>513</v>
      </c>
      <c r="C106">
        <v>2020</v>
      </c>
      <c r="D106" s="2">
        <v>93088</v>
      </c>
      <c r="E106" s="2">
        <v>49811</v>
      </c>
      <c r="F106" s="2">
        <v>43277</v>
      </c>
      <c r="G106" s="2">
        <v>118756</v>
      </c>
      <c r="H106" s="2">
        <v>34963</v>
      </c>
      <c r="I106" s="2">
        <v>83793</v>
      </c>
      <c r="J106" s="2">
        <v>77629</v>
      </c>
      <c r="K106" s="2">
        <v>19903841</v>
      </c>
      <c r="L106" s="2">
        <v>4849396</v>
      </c>
      <c r="M106" s="2">
        <f t="shared" si="9"/>
        <v>18617.599999999999</v>
      </c>
      <c r="N106" s="2">
        <f t="shared" si="10"/>
        <v>8655.4</v>
      </c>
      <c r="O106" s="7">
        <f t="shared" si="6"/>
        <v>0.65368486644885315</v>
      </c>
      <c r="P106" s="9">
        <f t="shared" si="11"/>
        <v>24.364121477859474</v>
      </c>
      <c r="Q106" s="7">
        <f t="shared" si="7"/>
        <v>0.29441038768567485</v>
      </c>
      <c r="R106" s="9">
        <f t="shared" si="8"/>
        <v>2.1743039446506835E-3</v>
      </c>
      <c r="V106">
        <v>103413</v>
      </c>
      <c r="W106">
        <v>36613</v>
      </c>
      <c r="Y106">
        <v>153852</v>
      </c>
      <c r="Z106">
        <v>96534</v>
      </c>
      <c r="AB106">
        <v>57318</v>
      </c>
      <c r="AC106">
        <v>89897</v>
      </c>
    </row>
    <row r="107" spans="1:29" x14ac:dyDescent="0.3">
      <c r="A107" t="s">
        <v>117</v>
      </c>
      <c r="B107" t="s">
        <v>513</v>
      </c>
      <c r="C107">
        <v>2020</v>
      </c>
      <c r="D107" s="2">
        <v>55569</v>
      </c>
      <c r="E107" s="2">
        <v>79836</v>
      </c>
      <c r="F107" s="2">
        <v>-24267</v>
      </c>
      <c r="G107" s="2">
        <v>32319</v>
      </c>
      <c r="H107" s="2">
        <v>27015</v>
      </c>
      <c r="I107" s="2">
        <v>5304</v>
      </c>
      <c r="J107" s="2">
        <v>-8930</v>
      </c>
      <c r="K107" s="2">
        <v>12063410</v>
      </c>
      <c r="L107" s="2">
        <v>12050222</v>
      </c>
      <c r="M107" s="2">
        <f t="shared" si="9"/>
        <v>11113.8</v>
      </c>
      <c r="N107" s="2">
        <f t="shared" si="10"/>
        <v>-4853.3999999999996</v>
      </c>
      <c r="O107" s="7">
        <f t="shared" si="6"/>
        <v>-0.27630805408583187</v>
      </c>
      <c r="P107" s="9">
        <f t="shared" si="11"/>
        <v>99.890677677373148</v>
      </c>
      <c r="Q107" s="7">
        <f t="shared" si="7"/>
        <v>0.83588601132460782</v>
      </c>
      <c r="R107" s="9">
        <f t="shared" si="8"/>
        <v>-2.011620263258896E-3</v>
      </c>
      <c r="V107">
        <v>93088</v>
      </c>
      <c r="W107">
        <v>43277</v>
      </c>
      <c r="Y107">
        <v>118756</v>
      </c>
      <c r="Z107">
        <v>83793</v>
      </c>
      <c r="AB107">
        <v>34963</v>
      </c>
      <c r="AC107">
        <v>77629</v>
      </c>
    </row>
    <row r="108" spans="1:29" x14ac:dyDescent="0.3">
      <c r="A108" t="s">
        <v>118</v>
      </c>
      <c r="B108" t="s">
        <v>513</v>
      </c>
      <c r="C108">
        <v>2020</v>
      </c>
      <c r="D108" s="2">
        <v>198216</v>
      </c>
      <c r="E108" s="2">
        <v>34214</v>
      </c>
      <c r="F108" s="2">
        <v>164002</v>
      </c>
      <c r="G108" s="2">
        <v>264721</v>
      </c>
      <c r="H108" s="2">
        <v>86774</v>
      </c>
      <c r="I108" s="2">
        <v>177947</v>
      </c>
      <c r="J108" s="2">
        <v>169857</v>
      </c>
      <c r="K108" s="2">
        <v>14055605</v>
      </c>
      <c r="L108" s="2">
        <v>13114959</v>
      </c>
      <c r="M108" s="2">
        <f t="shared" si="9"/>
        <v>39643.199999999997</v>
      </c>
      <c r="N108" s="2">
        <f t="shared" si="10"/>
        <v>32800.400000000001</v>
      </c>
      <c r="O108" s="7">
        <f t="shared" si="6"/>
        <v>0.64164535492084118</v>
      </c>
      <c r="P108" s="9">
        <f t="shared" si="11"/>
        <v>93.30768045914779</v>
      </c>
      <c r="Q108" s="7">
        <f t="shared" si="7"/>
        <v>0.32779416819972729</v>
      </c>
      <c r="R108" s="9">
        <f t="shared" si="8"/>
        <v>1.1668085436379295E-2</v>
      </c>
      <c r="V108">
        <v>55569</v>
      </c>
      <c r="W108">
        <v>-24267</v>
      </c>
      <c r="Y108">
        <v>32319</v>
      </c>
      <c r="Z108">
        <v>5304</v>
      </c>
      <c r="AB108">
        <v>27015</v>
      </c>
      <c r="AC108">
        <v>-8930</v>
      </c>
    </row>
    <row r="109" spans="1:29" x14ac:dyDescent="0.3">
      <c r="A109" t="s">
        <v>119</v>
      </c>
      <c r="B109" t="s">
        <v>513</v>
      </c>
      <c r="C109">
        <v>2020</v>
      </c>
      <c r="D109" s="2">
        <v>74071</v>
      </c>
      <c r="E109" s="2">
        <v>68243</v>
      </c>
      <c r="F109" s="2">
        <v>5828</v>
      </c>
      <c r="G109" s="2">
        <v>67068</v>
      </c>
      <c r="H109" s="2">
        <v>98807</v>
      </c>
      <c r="I109" s="2">
        <v>-31739</v>
      </c>
      <c r="J109" s="2">
        <v>-37005</v>
      </c>
      <c r="K109" s="2">
        <v>6950367</v>
      </c>
      <c r="L109" s="2">
        <v>4910705</v>
      </c>
      <c r="M109" s="2">
        <f t="shared" si="9"/>
        <v>14814.2</v>
      </c>
      <c r="N109" s="2">
        <f t="shared" si="10"/>
        <v>1165.5999999999999</v>
      </c>
      <c r="O109" s="7">
        <f t="shared" si="6"/>
        <v>-0.55175344426552153</v>
      </c>
      <c r="P109" s="9">
        <f t="shared" si="11"/>
        <v>70.653894966985192</v>
      </c>
      <c r="Q109" s="7">
        <f t="shared" si="7"/>
        <v>1.4732361185662313</v>
      </c>
      <c r="R109" s="9">
        <f t="shared" si="8"/>
        <v>8.3851687256226905E-4</v>
      </c>
      <c r="V109">
        <v>198216</v>
      </c>
      <c r="W109">
        <v>164002</v>
      </c>
      <c r="Y109">
        <v>264721</v>
      </c>
      <c r="Z109">
        <v>177947</v>
      </c>
      <c r="AB109">
        <v>86774</v>
      </c>
      <c r="AC109">
        <v>169857</v>
      </c>
    </row>
    <row r="110" spans="1:29" x14ac:dyDescent="0.3">
      <c r="A110" t="s">
        <v>120</v>
      </c>
      <c r="B110" t="s">
        <v>513</v>
      </c>
      <c r="C110">
        <v>2020</v>
      </c>
      <c r="D110" s="2">
        <v>78732</v>
      </c>
      <c r="E110" s="2">
        <v>21314</v>
      </c>
      <c r="F110" s="2">
        <v>57418</v>
      </c>
      <c r="G110" s="2">
        <v>101372</v>
      </c>
      <c r="H110" s="2">
        <v>72108</v>
      </c>
      <c r="I110" s="2">
        <v>29264</v>
      </c>
      <c r="J110" s="2">
        <v>14373</v>
      </c>
      <c r="K110" s="2">
        <v>10279548</v>
      </c>
      <c r="L110" s="2">
        <v>5382357</v>
      </c>
      <c r="M110" s="2">
        <f t="shared" si="9"/>
        <v>15746.4</v>
      </c>
      <c r="N110" s="2">
        <f t="shared" si="10"/>
        <v>11483.6</v>
      </c>
      <c r="O110" s="7">
        <f t="shared" si="6"/>
        <v>0.14178471372765655</v>
      </c>
      <c r="P110" s="9">
        <f t="shared" si="11"/>
        <v>52.359860569744896</v>
      </c>
      <c r="Q110" s="7">
        <f t="shared" si="7"/>
        <v>0.71132068026674034</v>
      </c>
      <c r="R110" s="9">
        <f t="shared" si="8"/>
        <v>5.5856541552216105E-3</v>
      </c>
      <c r="V110">
        <v>74071</v>
      </c>
      <c r="W110">
        <v>5828</v>
      </c>
      <c r="Y110">
        <v>67068</v>
      </c>
      <c r="Z110">
        <v>-31739</v>
      </c>
      <c r="AB110">
        <v>98807</v>
      </c>
      <c r="AC110">
        <v>-37005</v>
      </c>
    </row>
    <row r="111" spans="1:29" x14ac:dyDescent="0.3">
      <c r="A111" t="s">
        <v>121</v>
      </c>
      <c r="B111" t="s">
        <v>513</v>
      </c>
      <c r="C111">
        <v>2020</v>
      </c>
      <c r="D111" s="2">
        <v>129252</v>
      </c>
      <c r="E111" s="2">
        <v>49749</v>
      </c>
      <c r="F111" s="2">
        <v>79503</v>
      </c>
      <c r="G111" s="2">
        <v>116410</v>
      </c>
      <c r="H111" s="2">
        <v>33777</v>
      </c>
      <c r="I111" s="2">
        <v>82633</v>
      </c>
      <c r="J111" s="2">
        <v>70473</v>
      </c>
      <c r="K111" s="2">
        <v>19677069</v>
      </c>
      <c r="L111" s="2">
        <v>11480473</v>
      </c>
      <c r="M111" s="2">
        <f t="shared" si="9"/>
        <v>25850.400000000001</v>
      </c>
      <c r="N111" s="2">
        <f t="shared" si="10"/>
        <v>15900.6</v>
      </c>
      <c r="O111" s="7">
        <f t="shared" si="6"/>
        <v>0.60538613521175155</v>
      </c>
      <c r="P111" s="9">
        <f t="shared" si="11"/>
        <v>58.344426194775245</v>
      </c>
      <c r="Q111" s="7">
        <f t="shared" si="7"/>
        <v>0.29015548492397558</v>
      </c>
      <c r="R111" s="9">
        <f t="shared" si="8"/>
        <v>4.040388332225699E-3</v>
      </c>
      <c r="V111">
        <v>78732</v>
      </c>
      <c r="W111">
        <v>57418</v>
      </c>
      <c r="Y111">
        <v>101372</v>
      </c>
      <c r="Z111">
        <v>29264</v>
      </c>
      <c r="AB111">
        <v>72108</v>
      </c>
      <c r="AC111">
        <v>14373</v>
      </c>
    </row>
    <row r="112" spans="1:29" x14ac:dyDescent="0.3">
      <c r="A112" t="s">
        <v>122</v>
      </c>
      <c r="B112" t="s">
        <v>513</v>
      </c>
      <c r="C112">
        <v>2020</v>
      </c>
      <c r="D112" s="2">
        <v>162428</v>
      </c>
      <c r="E112" s="2">
        <v>33624</v>
      </c>
      <c r="F112" s="2">
        <v>128804</v>
      </c>
      <c r="G112" s="2">
        <v>172125</v>
      </c>
      <c r="H112" s="2">
        <v>25488</v>
      </c>
      <c r="I112" s="2">
        <v>146637</v>
      </c>
      <c r="J112" s="2">
        <v>139397</v>
      </c>
      <c r="K112" s="2">
        <v>6222869</v>
      </c>
      <c r="L112" s="2">
        <v>13672477</v>
      </c>
      <c r="M112" s="2">
        <f t="shared" si="9"/>
        <v>32485.599999999999</v>
      </c>
      <c r="N112" s="2">
        <f t="shared" si="10"/>
        <v>25760.799999999999</v>
      </c>
      <c r="O112" s="7">
        <f t="shared" si="6"/>
        <v>0.80985911401597677</v>
      </c>
      <c r="P112" s="9">
        <f t="shared" si="11"/>
        <v>219.71339907685666</v>
      </c>
      <c r="Q112" s="7">
        <f t="shared" si="7"/>
        <v>0.14807843137254903</v>
      </c>
      <c r="R112" s="9">
        <f t="shared" si="8"/>
        <v>2.0698491322893024E-2</v>
      </c>
      <c r="V112">
        <v>129252</v>
      </c>
      <c r="W112">
        <v>79503</v>
      </c>
      <c r="Y112">
        <v>116410</v>
      </c>
      <c r="Z112">
        <v>82633</v>
      </c>
      <c r="AB112">
        <v>33777</v>
      </c>
      <c r="AC112">
        <v>70473</v>
      </c>
    </row>
    <row r="113" spans="1:29" x14ac:dyDescent="0.3">
      <c r="A113" t="s">
        <v>123</v>
      </c>
      <c r="B113" t="s">
        <v>513</v>
      </c>
      <c r="C113">
        <v>2020</v>
      </c>
      <c r="D113" s="2">
        <v>168831</v>
      </c>
      <c r="E113" s="2">
        <v>62796</v>
      </c>
      <c r="F113" s="2">
        <v>106035</v>
      </c>
      <c r="G113" s="2">
        <v>130467</v>
      </c>
      <c r="H113" s="2">
        <v>79291</v>
      </c>
      <c r="I113" s="2">
        <v>51176</v>
      </c>
      <c r="J113" s="2">
        <v>35608</v>
      </c>
      <c r="K113" s="2">
        <v>15676231</v>
      </c>
      <c r="L113" s="2">
        <v>12302640</v>
      </c>
      <c r="M113" s="2">
        <f t="shared" si="9"/>
        <v>33766.199999999997</v>
      </c>
      <c r="N113" s="2">
        <f t="shared" si="10"/>
        <v>21207</v>
      </c>
      <c r="O113" s="7">
        <f t="shared" si="6"/>
        <v>0.2729272536350188</v>
      </c>
      <c r="P113" s="9">
        <f t="shared" si="11"/>
        <v>78.479578413969534</v>
      </c>
      <c r="Q113" s="7">
        <f t="shared" si="7"/>
        <v>0.60774755302107042</v>
      </c>
      <c r="R113" s="9">
        <f t="shared" si="8"/>
        <v>6.7640621014069006E-3</v>
      </c>
      <c r="V113">
        <v>162428</v>
      </c>
      <c r="W113">
        <v>128804</v>
      </c>
      <c r="Y113">
        <v>172125</v>
      </c>
      <c r="Z113">
        <v>146637</v>
      </c>
      <c r="AB113">
        <v>25488</v>
      </c>
      <c r="AC113">
        <v>139397</v>
      </c>
    </row>
    <row r="114" spans="1:29" x14ac:dyDescent="0.3">
      <c r="A114" t="s">
        <v>124</v>
      </c>
      <c r="B114" t="s">
        <v>513</v>
      </c>
      <c r="C114">
        <v>2020</v>
      </c>
      <c r="D114" s="2">
        <v>100428</v>
      </c>
      <c r="E114" s="2">
        <v>10302</v>
      </c>
      <c r="F114" s="2">
        <v>90126</v>
      </c>
      <c r="G114" s="2">
        <v>192684</v>
      </c>
      <c r="H114" s="2">
        <v>15055</v>
      </c>
      <c r="I114" s="2">
        <v>177629</v>
      </c>
      <c r="J114" s="2">
        <v>162616</v>
      </c>
      <c r="K114" s="2">
        <v>12479821</v>
      </c>
      <c r="L114" s="2">
        <v>7583897</v>
      </c>
      <c r="M114" s="2">
        <f t="shared" si="9"/>
        <v>20085.599999999999</v>
      </c>
      <c r="N114" s="2">
        <f t="shared" si="10"/>
        <v>18025.2</v>
      </c>
      <c r="O114" s="7">
        <f t="shared" si="6"/>
        <v>0.8439517552054141</v>
      </c>
      <c r="P114" s="9">
        <f t="shared" si="11"/>
        <v>60.769277059342443</v>
      </c>
      <c r="Q114" s="7">
        <f t="shared" si="7"/>
        <v>7.8133109132050405E-2</v>
      </c>
      <c r="R114" s="9">
        <f t="shared" si="8"/>
        <v>7.2217381964052212E-3</v>
      </c>
      <c r="V114">
        <v>168831</v>
      </c>
      <c r="W114">
        <v>106035</v>
      </c>
      <c r="Y114">
        <v>130467</v>
      </c>
      <c r="Z114">
        <v>51176</v>
      </c>
      <c r="AB114">
        <v>79291</v>
      </c>
      <c r="AC114">
        <v>35608</v>
      </c>
    </row>
    <row r="115" spans="1:29" x14ac:dyDescent="0.3">
      <c r="A115" t="s">
        <v>125</v>
      </c>
      <c r="B115" t="s">
        <v>513</v>
      </c>
      <c r="C115">
        <v>2020</v>
      </c>
      <c r="D115" s="2">
        <v>78699</v>
      </c>
      <c r="E115" s="2">
        <v>77661</v>
      </c>
      <c r="F115" s="2">
        <v>1038</v>
      </c>
      <c r="G115" s="2">
        <v>65285</v>
      </c>
      <c r="H115" s="2">
        <v>31748</v>
      </c>
      <c r="I115" s="2">
        <v>33537</v>
      </c>
      <c r="J115" s="2">
        <v>24728</v>
      </c>
      <c r="K115" s="2">
        <v>11558221</v>
      </c>
      <c r="L115" s="2">
        <v>13466615</v>
      </c>
      <c r="M115" s="2">
        <f t="shared" si="9"/>
        <v>15739.8</v>
      </c>
      <c r="N115" s="2">
        <f t="shared" si="10"/>
        <v>207.6</v>
      </c>
      <c r="O115" s="7">
        <f t="shared" si="6"/>
        <v>0.37877000842459985</v>
      </c>
      <c r="P115" s="9">
        <f t="shared" si="11"/>
        <v>116.51113956031816</v>
      </c>
      <c r="Q115" s="7">
        <f t="shared" si="7"/>
        <v>0.48629853718312016</v>
      </c>
      <c r="R115" s="9">
        <f t="shared" si="8"/>
        <v>8.9806208066102908E-5</v>
      </c>
      <c r="V115">
        <v>100428</v>
      </c>
      <c r="W115">
        <v>90126</v>
      </c>
      <c r="Y115">
        <v>192684</v>
      </c>
      <c r="Z115">
        <v>177629</v>
      </c>
      <c r="AB115">
        <v>15055</v>
      </c>
      <c r="AC115">
        <v>162616</v>
      </c>
    </row>
    <row r="116" spans="1:29" x14ac:dyDescent="0.3">
      <c r="A116" t="s">
        <v>126</v>
      </c>
      <c r="B116" t="s">
        <v>513</v>
      </c>
      <c r="C116">
        <v>2020</v>
      </c>
      <c r="D116" s="2">
        <v>186198</v>
      </c>
      <c r="E116" s="2">
        <v>15122</v>
      </c>
      <c r="F116" s="2">
        <v>171076</v>
      </c>
      <c r="G116" s="2">
        <v>209106</v>
      </c>
      <c r="H116" s="2">
        <v>97838</v>
      </c>
      <c r="I116" s="2">
        <v>111268</v>
      </c>
      <c r="J116" s="2">
        <v>103398</v>
      </c>
      <c r="K116" s="2">
        <v>18436411</v>
      </c>
      <c r="L116" s="2">
        <v>10315436</v>
      </c>
      <c r="M116" s="2">
        <f t="shared" si="9"/>
        <v>37239.599999999999</v>
      </c>
      <c r="N116" s="2">
        <f t="shared" si="10"/>
        <v>34215.199999999997</v>
      </c>
      <c r="O116" s="7">
        <f t="shared" si="6"/>
        <v>0.49447648561016899</v>
      </c>
      <c r="P116" s="9">
        <f t="shared" si="11"/>
        <v>55.951432195778239</v>
      </c>
      <c r="Q116" s="7">
        <f t="shared" si="7"/>
        <v>0.46788710032232456</v>
      </c>
      <c r="R116" s="9">
        <f t="shared" si="8"/>
        <v>9.2792463782674396E-3</v>
      </c>
      <c r="V116">
        <v>78699</v>
      </c>
      <c r="W116">
        <v>1038</v>
      </c>
      <c r="Y116">
        <v>65285</v>
      </c>
      <c r="Z116">
        <v>33537</v>
      </c>
      <c r="AB116">
        <v>31748</v>
      </c>
      <c r="AC116">
        <v>24728</v>
      </c>
    </row>
    <row r="117" spans="1:29" x14ac:dyDescent="0.3">
      <c r="A117" t="s">
        <v>127</v>
      </c>
      <c r="B117" t="s">
        <v>513</v>
      </c>
      <c r="C117">
        <v>2020</v>
      </c>
      <c r="D117" s="2">
        <v>168033</v>
      </c>
      <c r="E117" s="2">
        <v>44674</v>
      </c>
      <c r="F117" s="2">
        <v>123359</v>
      </c>
      <c r="G117" s="2">
        <v>179213</v>
      </c>
      <c r="H117" s="2">
        <v>61271</v>
      </c>
      <c r="I117" s="2">
        <v>117942</v>
      </c>
      <c r="J117" s="2">
        <v>107790</v>
      </c>
      <c r="K117" s="2">
        <v>18014646</v>
      </c>
      <c r="L117" s="2">
        <v>12810404</v>
      </c>
      <c r="M117" s="2">
        <f t="shared" si="9"/>
        <v>33606.6</v>
      </c>
      <c r="N117" s="2">
        <f t="shared" si="10"/>
        <v>24671.8</v>
      </c>
      <c r="O117" s="7">
        <f t="shared" si="6"/>
        <v>0.60146306350543766</v>
      </c>
      <c r="P117" s="9">
        <f t="shared" si="11"/>
        <v>71.111050419752914</v>
      </c>
      <c r="Q117" s="7">
        <f t="shared" si="7"/>
        <v>0.34188926026571731</v>
      </c>
      <c r="R117" s="9">
        <f t="shared" si="8"/>
        <v>6.8477060276399548E-3</v>
      </c>
      <c r="V117">
        <v>186198</v>
      </c>
      <c r="W117">
        <v>171076</v>
      </c>
      <c r="Y117">
        <v>209106</v>
      </c>
      <c r="Z117">
        <v>111268</v>
      </c>
      <c r="AB117">
        <v>97838</v>
      </c>
      <c r="AC117">
        <v>103398</v>
      </c>
    </row>
    <row r="118" spans="1:29" x14ac:dyDescent="0.3">
      <c r="A118" t="s">
        <v>128</v>
      </c>
      <c r="B118" t="s">
        <v>513</v>
      </c>
      <c r="C118">
        <v>2020</v>
      </c>
      <c r="D118" s="2">
        <v>191339</v>
      </c>
      <c r="E118" s="2">
        <v>11062</v>
      </c>
      <c r="F118" s="2">
        <v>180277</v>
      </c>
      <c r="G118" s="2">
        <v>250725</v>
      </c>
      <c r="H118" s="2">
        <v>21229</v>
      </c>
      <c r="I118" s="2">
        <v>229496</v>
      </c>
      <c r="J118" s="2">
        <v>210987</v>
      </c>
      <c r="K118" s="2">
        <v>16057963</v>
      </c>
      <c r="L118" s="2">
        <v>14801112</v>
      </c>
      <c r="M118" s="2">
        <f t="shared" si="9"/>
        <v>38267.800000000003</v>
      </c>
      <c r="N118" s="2">
        <f t="shared" si="10"/>
        <v>36055.4</v>
      </c>
      <c r="O118" s="7">
        <f t="shared" si="6"/>
        <v>0.84150762787915045</v>
      </c>
      <c r="P118" s="9">
        <f t="shared" si="11"/>
        <v>92.173035895026032</v>
      </c>
      <c r="Q118" s="7">
        <f t="shared" si="7"/>
        <v>8.467045567853225E-2</v>
      </c>
      <c r="R118" s="9">
        <f t="shared" si="8"/>
        <v>1.1226641884777042E-2</v>
      </c>
      <c r="V118">
        <v>168033</v>
      </c>
      <c r="W118">
        <v>123359</v>
      </c>
      <c r="Y118">
        <v>179213</v>
      </c>
      <c r="Z118">
        <v>117942</v>
      </c>
      <c r="AB118">
        <v>61271</v>
      </c>
      <c r="AC118">
        <v>107790</v>
      </c>
    </row>
    <row r="119" spans="1:29" x14ac:dyDescent="0.3">
      <c r="A119" t="s">
        <v>129</v>
      </c>
      <c r="B119" t="s">
        <v>513</v>
      </c>
      <c r="C119">
        <v>2020</v>
      </c>
      <c r="D119" s="2">
        <v>154592</v>
      </c>
      <c r="E119" s="2">
        <v>13596</v>
      </c>
      <c r="F119" s="2">
        <v>140996</v>
      </c>
      <c r="G119" s="2">
        <v>167164</v>
      </c>
      <c r="H119" s="2">
        <v>22561</v>
      </c>
      <c r="I119" s="2">
        <v>144603</v>
      </c>
      <c r="J119" s="2">
        <v>134345</v>
      </c>
      <c r="K119" s="2">
        <v>6655016</v>
      </c>
      <c r="L119" s="2">
        <v>13086508</v>
      </c>
      <c r="M119" s="2">
        <f t="shared" si="9"/>
        <v>30918.400000000001</v>
      </c>
      <c r="N119" s="2">
        <f t="shared" si="10"/>
        <v>28199.200000000001</v>
      </c>
      <c r="O119" s="7">
        <f t="shared" si="6"/>
        <v>0.80367184321983198</v>
      </c>
      <c r="P119" s="9">
        <f t="shared" si="11"/>
        <v>196.64127028394822</v>
      </c>
      <c r="Q119" s="7">
        <f t="shared" si="7"/>
        <v>0.13496326960350313</v>
      </c>
      <c r="R119" s="9">
        <f t="shared" si="8"/>
        <v>2.1186425397023839E-2</v>
      </c>
      <c r="V119">
        <v>191339</v>
      </c>
      <c r="W119">
        <v>180277</v>
      </c>
      <c r="Y119">
        <v>250725</v>
      </c>
      <c r="Z119">
        <v>229496</v>
      </c>
      <c r="AB119">
        <v>21229</v>
      </c>
      <c r="AC119">
        <v>210987</v>
      </c>
    </row>
    <row r="120" spans="1:29" x14ac:dyDescent="0.3">
      <c r="A120" t="s">
        <v>130</v>
      </c>
      <c r="B120" t="s">
        <v>513</v>
      </c>
      <c r="C120">
        <v>2020</v>
      </c>
      <c r="D120" s="2">
        <v>174049</v>
      </c>
      <c r="E120" s="2">
        <v>36734</v>
      </c>
      <c r="F120" s="2">
        <v>137315</v>
      </c>
      <c r="G120" s="2">
        <v>163686</v>
      </c>
      <c r="H120" s="2">
        <v>41069</v>
      </c>
      <c r="I120" s="2">
        <v>122617</v>
      </c>
      <c r="J120" s="2">
        <v>106248</v>
      </c>
      <c r="K120" s="2">
        <v>18120110</v>
      </c>
      <c r="L120" s="2">
        <v>5568103</v>
      </c>
      <c r="M120" s="2">
        <f t="shared" si="9"/>
        <v>34809.800000000003</v>
      </c>
      <c r="N120" s="2">
        <f t="shared" si="10"/>
        <v>27463</v>
      </c>
      <c r="O120" s="7">
        <f t="shared" si="6"/>
        <v>0.6490964407463069</v>
      </c>
      <c r="P120" s="9">
        <f t="shared" si="11"/>
        <v>30.728858710018869</v>
      </c>
      <c r="Q120" s="7">
        <f t="shared" si="7"/>
        <v>0.25090111555050526</v>
      </c>
      <c r="R120" s="9">
        <f t="shared" si="8"/>
        <v>7.5780445041448421E-3</v>
      </c>
      <c r="V120">
        <v>154592</v>
      </c>
      <c r="W120">
        <v>140996</v>
      </c>
      <c r="Y120">
        <v>167164</v>
      </c>
      <c r="Z120">
        <v>144603</v>
      </c>
      <c r="AB120">
        <v>22561</v>
      </c>
      <c r="AC120">
        <v>134345</v>
      </c>
    </row>
    <row r="121" spans="1:29" x14ac:dyDescent="0.3">
      <c r="A121" t="s">
        <v>131</v>
      </c>
      <c r="B121" t="s">
        <v>513</v>
      </c>
      <c r="C121">
        <v>2020</v>
      </c>
      <c r="D121" s="2">
        <v>131264</v>
      </c>
      <c r="E121" s="2">
        <v>33275</v>
      </c>
      <c r="F121" s="2">
        <v>97989</v>
      </c>
      <c r="G121" s="2">
        <v>190263</v>
      </c>
      <c r="H121" s="2">
        <v>96449</v>
      </c>
      <c r="I121" s="2">
        <v>93814</v>
      </c>
      <c r="J121" s="2">
        <v>89342</v>
      </c>
      <c r="K121" s="2">
        <v>11482532</v>
      </c>
      <c r="L121" s="2">
        <v>8196467</v>
      </c>
      <c r="M121" s="2">
        <f t="shared" si="9"/>
        <v>26252.799999999999</v>
      </c>
      <c r="N121" s="2">
        <f t="shared" si="10"/>
        <v>19597.8</v>
      </c>
      <c r="O121" s="7">
        <f t="shared" si="6"/>
        <v>0.46957106741720672</v>
      </c>
      <c r="P121" s="9">
        <f t="shared" si="11"/>
        <v>71.382052320864418</v>
      </c>
      <c r="Q121" s="7">
        <f t="shared" si="7"/>
        <v>0.50692462538696437</v>
      </c>
      <c r="R121" s="9">
        <f t="shared" si="8"/>
        <v>8.5337449963126602E-3</v>
      </c>
      <c r="V121">
        <v>174049</v>
      </c>
      <c r="W121">
        <v>137315</v>
      </c>
      <c r="Y121">
        <v>163686</v>
      </c>
      <c r="Z121">
        <v>122617</v>
      </c>
      <c r="AB121">
        <v>41069</v>
      </c>
      <c r="AC121">
        <v>106248</v>
      </c>
    </row>
    <row r="122" spans="1:29" x14ac:dyDescent="0.3">
      <c r="A122" t="s">
        <v>132</v>
      </c>
      <c r="B122" t="s">
        <v>513</v>
      </c>
      <c r="C122">
        <v>2021</v>
      </c>
      <c r="D122" s="2">
        <v>98447</v>
      </c>
      <c r="E122" s="2">
        <v>44529</v>
      </c>
      <c r="F122" s="2">
        <v>53918</v>
      </c>
      <c r="G122" s="2">
        <v>149621</v>
      </c>
      <c r="H122" s="2">
        <v>91090</v>
      </c>
      <c r="I122" s="2">
        <v>58531</v>
      </c>
      <c r="J122" s="2">
        <v>39271</v>
      </c>
      <c r="K122" s="2">
        <v>14549765</v>
      </c>
      <c r="L122" s="2">
        <v>4314532</v>
      </c>
      <c r="M122" s="2">
        <f t="shared" si="9"/>
        <v>19689.400000000001</v>
      </c>
      <c r="N122" s="2">
        <f t="shared" si="10"/>
        <v>10783.6</v>
      </c>
      <c r="O122" s="7">
        <f t="shared" si="6"/>
        <v>0.2624698404635713</v>
      </c>
      <c r="P122" s="9">
        <f t="shared" si="11"/>
        <v>29.653619835096993</v>
      </c>
      <c r="Q122" s="7">
        <f t="shared" si="7"/>
        <v>0.60880491374873846</v>
      </c>
      <c r="R122" s="9">
        <f t="shared" si="8"/>
        <v>3.7057643199048234E-3</v>
      </c>
      <c r="V122">
        <v>131264</v>
      </c>
      <c r="W122">
        <v>97989</v>
      </c>
      <c r="Y122">
        <v>190263</v>
      </c>
      <c r="Z122">
        <v>93814</v>
      </c>
      <c r="AB122">
        <v>96449</v>
      </c>
      <c r="AC122">
        <v>89342</v>
      </c>
    </row>
    <row r="123" spans="1:29" x14ac:dyDescent="0.3">
      <c r="A123" t="s">
        <v>133</v>
      </c>
      <c r="B123" t="s">
        <v>513</v>
      </c>
      <c r="C123">
        <v>2021</v>
      </c>
      <c r="D123" s="2">
        <v>166148</v>
      </c>
      <c r="E123" s="2">
        <v>37285</v>
      </c>
      <c r="F123" s="2">
        <v>128863</v>
      </c>
      <c r="G123" s="2">
        <v>241299</v>
      </c>
      <c r="H123" s="2">
        <v>16605</v>
      </c>
      <c r="I123" s="2">
        <v>224694</v>
      </c>
      <c r="J123" s="2">
        <v>217072</v>
      </c>
      <c r="K123" s="2">
        <v>19752367</v>
      </c>
      <c r="L123" s="2">
        <v>5255363</v>
      </c>
      <c r="M123" s="2">
        <f t="shared" si="9"/>
        <v>33229.599999999999</v>
      </c>
      <c r="N123" s="2">
        <f t="shared" si="10"/>
        <v>25772.6</v>
      </c>
      <c r="O123" s="7">
        <f t="shared" si="6"/>
        <v>0.89959759468543177</v>
      </c>
      <c r="P123" s="9">
        <f t="shared" si="11"/>
        <v>26.606244203542794</v>
      </c>
      <c r="Q123" s="7">
        <f t="shared" si="7"/>
        <v>6.881503860355824E-2</v>
      </c>
      <c r="R123" s="9">
        <f t="shared" si="8"/>
        <v>6.523926980498084E-3</v>
      </c>
      <c r="V123">
        <v>98447</v>
      </c>
      <c r="W123">
        <v>53918</v>
      </c>
      <c r="Y123">
        <v>149621</v>
      </c>
      <c r="Z123">
        <v>58531</v>
      </c>
      <c r="AB123">
        <v>91090</v>
      </c>
      <c r="AC123">
        <v>39271</v>
      </c>
    </row>
    <row r="124" spans="1:29" x14ac:dyDescent="0.3">
      <c r="A124" t="s">
        <v>134</v>
      </c>
      <c r="B124" t="s">
        <v>513</v>
      </c>
      <c r="C124">
        <v>2021</v>
      </c>
      <c r="D124" s="2">
        <v>126125</v>
      </c>
      <c r="E124" s="2">
        <v>23918</v>
      </c>
      <c r="F124" s="2">
        <v>102207</v>
      </c>
      <c r="G124" s="2">
        <v>207862</v>
      </c>
      <c r="H124" s="2">
        <v>42446</v>
      </c>
      <c r="I124" s="2">
        <v>165416</v>
      </c>
      <c r="J124" s="2">
        <v>150370</v>
      </c>
      <c r="K124" s="2">
        <v>8668866</v>
      </c>
      <c r="L124" s="2">
        <v>7612338</v>
      </c>
      <c r="M124" s="2">
        <f t="shared" si="9"/>
        <v>25225</v>
      </c>
      <c r="N124" s="2">
        <f t="shared" si="10"/>
        <v>20441.400000000001</v>
      </c>
      <c r="O124" s="7">
        <f t="shared" si="6"/>
        <v>0.72341264877659217</v>
      </c>
      <c r="P124" s="9">
        <f t="shared" si="11"/>
        <v>87.812385149337871</v>
      </c>
      <c r="Q124" s="7">
        <f t="shared" si="7"/>
        <v>0.20420278838845002</v>
      </c>
      <c r="R124" s="9">
        <f t="shared" si="8"/>
        <v>1.1790123414065923E-2</v>
      </c>
      <c r="V124">
        <v>166148</v>
      </c>
      <c r="W124">
        <v>128863</v>
      </c>
      <c r="Y124">
        <v>241299</v>
      </c>
      <c r="Z124">
        <v>224694</v>
      </c>
      <c r="AB124">
        <v>16605</v>
      </c>
      <c r="AC124">
        <v>217072</v>
      </c>
    </row>
    <row r="125" spans="1:29" x14ac:dyDescent="0.3">
      <c r="A125" t="s">
        <v>135</v>
      </c>
      <c r="B125" t="s">
        <v>513</v>
      </c>
      <c r="C125">
        <v>2021</v>
      </c>
      <c r="D125" s="2">
        <v>54324</v>
      </c>
      <c r="E125" s="2">
        <v>19111</v>
      </c>
      <c r="F125" s="2">
        <v>35213</v>
      </c>
      <c r="G125" s="2">
        <v>93323</v>
      </c>
      <c r="H125" s="2">
        <v>31389</v>
      </c>
      <c r="I125" s="2">
        <v>61934</v>
      </c>
      <c r="J125" s="2">
        <v>51275</v>
      </c>
      <c r="K125" s="2">
        <v>8094235</v>
      </c>
      <c r="L125" s="2">
        <v>12560067</v>
      </c>
      <c r="M125" s="2">
        <f t="shared" si="9"/>
        <v>10864.8</v>
      </c>
      <c r="N125" s="2">
        <f t="shared" si="10"/>
        <v>7042.6</v>
      </c>
      <c r="O125" s="7">
        <f t="shared" si="6"/>
        <v>0.54943583039550803</v>
      </c>
      <c r="P125" s="9">
        <f t="shared" si="11"/>
        <v>155.17299658337075</v>
      </c>
      <c r="Q125" s="7">
        <f t="shared" si="7"/>
        <v>0.33634795280906099</v>
      </c>
      <c r="R125" s="9">
        <f t="shared" si="8"/>
        <v>4.3503802397632388E-3</v>
      </c>
      <c r="V125">
        <v>126125</v>
      </c>
      <c r="W125">
        <v>102207</v>
      </c>
      <c r="Y125">
        <v>207862</v>
      </c>
      <c r="Z125">
        <v>165416</v>
      </c>
      <c r="AB125">
        <v>42446</v>
      </c>
      <c r="AC125">
        <v>150370</v>
      </c>
    </row>
    <row r="126" spans="1:29" x14ac:dyDescent="0.3">
      <c r="A126" t="s">
        <v>136</v>
      </c>
      <c r="B126" t="s">
        <v>513</v>
      </c>
      <c r="C126">
        <v>2021</v>
      </c>
      <c r="D126" s="2">
        <v>181189</v>
      </c>
      <c r="E126" s="2">
        <v>23234</v>
      </c>
      <c r="F126" s="2">
        <v>157955</v>
      </c>
      <c r="G126" s="2">
        <v>231396</v>
      </c>
      <c r="H126" s="2">
        <v>15846</v>
      </c>
      <c r="I126" s="2">
        <v>215550</v>
      </c>
      <c r="J126" s="2">
        <v>202596</v>
      </c>
      <c r="K126" s="2">
        <v>10584263</v>
      </c>
      <c r="L126" s="2">
        <v>3244761</v>
      </c>
      <c r="M126" s="2">
        <f t="shared" si="9"/>
        <v>36237.800000000003</v>
      </c>
      <c r="N126" s="2">
        <f t="shared" si="10"/>
        <v>31591</v>
      </c>
      <c r="O126" s="7">
        <f t="shared" si="6"/>
        <v>0.87553803868692626</v>
      </c>
      <c r="P126" s="9">
        <f t="shared" si="11"/>
        <v>30.65646611389003</v>
      </c>
      <c r="Q126" s="7">
        <f t="shared" si="7"/>
        <v>6.848000829746409E-2</v>
      </c>
      <c r="R126" s="9">
        <f t="shared" si="8"/>
        <v>1.4923570965687454E-2</v>
      </c>
      <c r="V126">
        <v>54324</v>
      </c>
      <c r="W126">
        <v>35213</v>
      </c>
      <c r="Y126">
        <v>93323</v>
      </c>
      <c r="Z126">
        <v>61934</v>
      </c>
      <c r="AB126">
        <v>31389</v>
      </c>
      <c r="AC126">
        <v>51275</v>
      </c>
    </row>
    <row r="127" spans="1:29" x14ac:dyDescent="0.3">
      <c r="A127" t="s">
        <v>137</v>
      </c>
      <c r="B127" t="s">
        <v>513</v>
      </c>
      <c r="C127">
        <v>2021</v>
      </c>
      <c r="D127" s="2">
        <v>96514</v>
      </c>
      <c r="E127" s="2">
        <v>16469</v>
      </c>
      <c r="F127" s="2">
        <v>80045</v>
      </c>
      <c r="G127" s="2">
        <v>130150</v>
      </c>
      <c r="H127" s="2">
        <v>57101</v>
      </c>
      <c r="I127" s="2">
        <v>73049</v>
      </c>
      <c r="J127" s="2">
        <v>54441</v>
      </c>
      <c r="K127" s="2">
        <v>13040979</v>
      </c>
      <c r="L127" s="2">
        <v>3954480</v>
      </c>
      <c r="M127" s="2">
        <f t="shared" si="9"/>
        <v>19302.8</v>
      </c>
      <c r="N127" s="2">
        <f t="shared" si="10"/>
        <v>16009</v>
      </c>
      <c r="O127" s="7">
        <f t="shared" si="6"/>
        <v>0.41829427583557433</v>
      </c>
      <c r="P127" s="9">
        <f t="shared" si="11"/>
        <v>30.323490283973314</v>
      </c>
      <c r="Q127" s="7">
        <f t="shared" si="7"/>
        <v>0.43873223203995387</v>
      </c>
      <c r="R127" s="9">
        <f t="shared" si="8"/>
        <v>6.1379594277392825E-3</v>
      </c>
      <c r="V127">
        <v>181189</v>
      </c>
      <c r="W127">
        <v>157955</v>
      </c>
      <c r="Y127">
        <v>231396</v>
      </c>
      <c r="Z127">
        <v>215550</v>
      </c>
      <c r="AB127">
        <v>15846</v>
      </c>
      <c r="AC127">
        <v>202596</v>
      </c>
    </row>
    <row r="128" spans="1:29" x14ac:dyDescent="0.3">
      <c r="A128" t="s">
        <v>138</v>
      </c>
      <c r="B128" t="s">
        <v>513</v>
      </c>
      <c r="C128">
        <v>2021</v>
      </c>
      <c r="D128" s="2">
        <v>177534</v>
      </c>
      <c r="E128" s="2">
        <v>77584</v>
      </c>
      <c r="F128" s="2">
        <v>99950</v>
      </c>
      <c r="G128" s="2">
        <v>198427</v>
      </c>
      <c r="H128" s="2">
        <v>57533</v>
      </c>
      <c r="I128" s="2">
        <v>140894</v>
      </c>
      <c r="J128" s="2">
        <v>137066</v>
      </c>
      <c r="K128" s="2">
        <v>14439101</v>
      </c>
      <c r="L128" s="2">
        <v>11671370</v>
      </c>
      <c r="M128" s="2">
        <f t="shared" si="9"/>
        <v>35506.800000000003</v>
      </c>
      <c r="N128" s="2">
        <f t="shared" si="10"/>
        <v>19990</v>
      </c>
      <c r="O128" s="7">
        <f t="shared" si="6"/>
        <v>0.69076284981378544</v>
      </c>
      <c r="P128" s="9">
        <f t="shared" si="11"/>
        <v>80.831694438594198</v>
      </c>
      <c r="Q128" s="7">
        <f t="shared" si="7"/>
        <v>0.28994542073407348</v>
      </c>
      <c r="R128" s="9">
        <f t="shared" si="8"/>
        <v>6.9221761105487112E-3</v>
      </c>
      <c r="V128">
        <v>96514</v>
      </c>
      <c r="W128">
        <v>80045</v>
      </c>
      <c r="Y128">
        <v>130150</v>
      </c>
      <c r="Z128">
        <v>73049</v>
      </c>
      <c r="AB128">
        <v>57101</v>
      </c>
      <c r="AC128">
        <v>54441</v>
      </c>
    </row>
    <row r="129" spans="1:29" x14ac:dyDescent="0.3">
      <c r="A129" t="s">
        <v>139</v>
      </c>
      <c r="B129" t="s">
        <v>513</v>
      </c>
      <c r="C129">
        <v>2021</v>
      </c>
      <c r="D129" s="2">
        <v>82254</v>
      </c>
      <c r="E129" s="2">
        <v>57362</v>
      </c>
      <c r="F129" s="2">
        <v>24892</v>
      </c>
      <c r="G129" s="2">
        <v>65020</v>
      </c>
      <c r="H129" s="2">
        <v>74383</v>
      </c>
      <c r="I129" s="2">
        <v>-9363</v>
      </c>
      <c r="J129" s="2">
        <v>-11372</v>
      </c>
      <c r="K129" s="2">
        <v>12422212</v>
      </c>
      <c r="L129" s="2">
        <v>6757974</v>
      </c>
      <c r="M129" s="2">
        <f t="shared" si="9"/>
        <v>16450.8</v>
      </c>
      <c r="N129" s="2">
        <f t="shared" si="10"/>
        <v>4978.3999999999996</v>
      </c>
      <c r="O129" s="7">
        <f t="shared" si="6"/>
        <v>-0.17490003075976623</v>
      </c>
      <c r="P129" s="9">
        <f t="shared" si="11"/>
        <v>54.402339937524815</v>
      </c>
      <c r="Q129" s="7">
        <f t="shared" si="7"/>
        <v>1.1440018455859735</v>
      </c>
      <c r="R129" s="9">
        <f t="shared" si="8"/>
        <v>2.0038299137061901E-3</v>
      </c>
      <c r="V129">
        <v>177534</v>
      </c>
      <c r="W129">
        <v>99950</v>
      </c>
      <c r="Y129">
        <v>198427</v>
      </c>
      <c r="Z129">
        <v>140894</v>
      </c>
      <c r="AB129">
        <v>57533</v>
      </c>
      <c r="AC129">
        <v>292359</v>
      </c>
    </row>
    <row r="130" spans="1:29" x14ac:dyDescent="0.3">
      <c r="A130" t="s">
        <v>140</v>
      </c>
      <c r="B130" t="s">
        <v>513</v>
      </c>
      <c r="C130">
        <v>2021</v>
      </c>
      <c r="D130" s="2">
        <v>190937</v>
      </c>
      <c r="E130" s="2">
        <v>12219</v>
      </c>
      <c r="F130" s="2">
        <v>178718</v>
      </c>
      <c r="G130" s="2">
        <v>238527</v>
      </c>
      <c r="H130" s="2">
        <v>20287</v>
      </c>
      <c r="I130" s="2">
        <v>218240</v>
      </c>
      <c r="J130" s="2">
        <v>214621</v>
      </c>
      <c r="K130" s="2">
        <v>8154240</v>
      </c>
      <c r="L130" s="2">
        <v>12045310</v>
      </c>
      <c r="M130" s="2">
        <f t="shared" si="9"/>
        <v>38187.4</v>
      </c>
      <c r="N130" s="2">
        <f t="shared" si="10"/>
        <v>35743.599999999999</v>
      </c>
      <c r="O130" s="7">
        <f t="shared" ref="O130:O193" si="12">J130/G130</f>
        <v>0.89977654521291095</v>
      </c>
      <c r="P130" s="9">
        <f t="shared" si="11"/>
        <v>147.71836492426027</v>
      </c>
      <c r="Q130" s="7">
        <f t="shared" ref="Q130:Q193" si="13">H130/G130</f>
        <v>8.5051168211565151E-2</v>
      </c>
      <c r="R130" s="9">
        <f t="shared" ref="R130:R193" si="14">F130/K130</f>
        <v>2.1917186641550897E-2</v>
      </c>
      <c r="V130">
        <v>82254</v>
      </c>
      <c r="W130">
        <v>24892</v>
      </c>
      <c r="Y130">
        <v>65020</v>
      </c>
      <c r="Z130">
        <v>-9363</v>
      </c>
      <c r="AB130">
        <v>74383</v>
      </c>
      <c r="AC130">
        <v>-11372</v>
      </c>
    </row>
    <row r="131" spans="1:29" x14ac:dyDescent="0.3">
      <c r="A131" t="s">
        <v>141</v>
      </c>
      <c r="B131" t="s">
        <v>513</v>
      </c>
      <c r="C131">
        <v>2021</v>
      </c>
      <c r="D131" s="2">
        <v>158872</v>
      </c>
      <c r="E131" s="2">
        <v>29216</v>
      </c>
      <c r="F131" s="2">
        <v>129656</v>
      </c>
      <c r="G131" s="2">
        <v>242726</v>
      </c>
      <c r="H131" s="2">
        <v>94767</v>
      </c>
      <c r="I131" s="2">
        <v>147959</v>
      </c>
      <c r="J131" s="2">
        <v>142469</v>
      </c>
      <c r="K131" s="2">
        <v>10205597</v>
      </c>
      <c r="L131" s="2">
        <v>8284958</v>
      </c>
      <c r="M131" s="2">
        <f t="shared" ref="M131:M194" si="15">D131/5</f>
        <v>31774.400000000001</v>
      </c>
      <c r="N131" s="2">
        <f t="shared" ref="N131:N194" si="16">F131/5</f>
        <v>25931.200000000001</v>
      </c>
      <c r="O131" s="7">
        <f t="shared" si="12"/>
        <v>0.5869540139910846</v>
      </c>
      <c r="P131" s="9">
        <f t="shared" ref="P131:P194" si="17">L131/K131*100</f>
        <v>81.180532603825142</v>
      </c>
      <c r="Q131" s="7">
        <f t="shared" si="13"/>
        <v>0.39042788988406679</v>
      </c>
      <c r="R131" s="9">
        <f t="shared" si="14"/>
        <v>1.2704401320177547E-2</v>
      </c>
      <c r="V131">
        <v>190937</v>
      </c>
      <c r="W131">
        <v>178718</v>
      </c>
      <c r="Y131">
        <v>238527</v>
      </c>
      <c r="Z131">
        <v>218240</v>
      </c>
      <c r="AB131">
        <v>20287</v>
      </c>
      <c r="AC131">
        <v>214621</v>
      </c>
    </row>
    <row r="132" spans="1:29" x14ac:dyDescent="0.3">
      <c r="A132" t="s">
        <v>142</v>
      </c>
      <c r="B132" t="s">
        <v>513</v>
      </c>
      <c r="C132">
        <v>2021</v>
      </c>
      <c r="D132" s="2">
        <v>156288</v>
      </c>
      <c r="E132" s="2">
        <v>22219</v>
      </c>
      <c r="F132" s="2">
        <v>134069</v>
      </c>
      <c r="G132" s="2">
        <v>154304</v>
      </c>
      <c r="H132" s="2">
        <v>57929</v>
      </c>
      <c r="I132" s="2">
        <v>96375</v>
      </c>
      <c r="J132" s="2">
        <v>92467</v>
      </c>
      <c r="K132" s="2">
        <v>6712503</v>
      </c>
      <c r="L132" s="2">
        <v>14374026</v>
      </c>
      <c r="M132" s="2">
        <f t="shared" si="15"/>
        <v>31257.599999999999</v>
      </c>
      <c r="N132" s="2">
        <f t="shared" si="16"/>
        <v>26813.8</v>
      </c>
      <c r="O132" s="7">
        <f t="shared" si="12"/>
        <v>0.59925212567399422</v>
      </c>
      <c r="P132" s="9">
        <f t="shared" si="17"/>
        <v>214.13809423995787</v>
      </c>
      <c r="Q132" s="7">
        <f t="shared" si="13"/>
        <v>0.37542124637080049</v>
      </c>
      <c r="R132" s="9">
        <f t="shared" si="14"/>
        <v>1.9973026455258194E-2</v>
      </c>
      <c r="V132">
        <v>158872</v>
      </c>
      <c r="W132">
        <v>129656</v>
      </c>
      <c r="Y132">
        <v>242726</v>
      </c>
      <c r="Z132">
        <v>147959</v>
      </c>
      <c r="AB132">
        <v>94767</v>
      </c>
      <c r="AC132">
        <v>142469</v>
      </c>
    </row>
    <row r="133" spans="1:29" x14ac:dyDescent="0.3">
      <c r="A133" t="s">
        <v>143</v>
      </c>
      <c r="B133" t="s">
        <v>513</v>
      </c>
      <c r="C133">
        <v>2021</v>
      </c>
      <c r="D133" s="2">
        <v>134555</v>
      </c>
      <c r="E133" s="2">
        <v>15415</v>
      </c>
      <c r="F133" s="2">
        <v>119140</v>
      </c>
      <c r="G133" s="2">
        <v>175299</v>
      </c>
      <c r="H133" s="2">
        <v>58925</v>
      </c>
      <c r="I133" s="2">
        <v>116374</v>
      </c>
      <c r="J133" s="2">
        <v>108423</v>
      </c>
      <c r="K133" s="2">
        <v>6135964</v>
      </c>
      <c r="L133" s="2">
        <v>12872232</v>
      </c>
      <c r="M133" s="2">
        <f t="shared" si="15"/>
        <v>26911</v>
      </c>
      <c r="N133" s="2">
        <f t="shared" si="16"/>
        <v>23828</v>
      </c>
      <c r="O133" s="7">
        <f t="shared" si="12"/>
        <v>0.61850324303047932</v>
      </c>
      <c r="P133" s="9">
        <f t="shared" si="17"/>
        <v>209.78336900281684</v>
      </c>
      <c r="Q133" s="7">
        <f t="shared" si="13"/>
        <v>0.33613996657140088</v>
      </c>
      <c r="R133" s="9">
        <f t="shared" si="14"/>
        <v>1.9416671936145651E-2</v>
      </c>
      <c r="V133">
        <v>156288</v>
      </c>
      <c r="W133">
        <v>134069</v>
      </c>
      <c r="Y133">
        <v>154304</v>
      </c>
      <c r="Z133">
        <v>96375</v>
      </c>
      <c r="AB133">
        <v>57929</v>
      </c>
      <c r="AC133">
        <v>92467</v>
      </c>
    </row>
    <row r="134" spans="1:29" x14ac:dyDescent="0.3">
      <c r="A134" t="s">
        <v>144</v>
      </c>
      <c r="B134" t="s">
        <v>513</v>
      </c>
      <c r="C134">
        <v>2021</v>
      </c>
      <c r="D134" s="2">
        <v>108596</v>
      </c>
      <c r="E134" s="2">
        <v>40523</v>
      </c>
      <c r="F134" s="2">
        <v>68073</v>
      </c>
      <c r="G134" s="2">
        <v>176934</v>
      </c>
      <c r="H134" s="2">
        <v>30524</v>
      </c>
      <c r="I134" s="2">
        <v>146410</v>
      </c>
      <c r="J134" s="2">
        <v>144333</v>
      </c>
      <c r="K134" s="2">
        <v>11941245</v>
      </c>
      <c r="L134" s="2">
        <v>12451244</v>
      </c>
      <c r="M134" s="2">
        <f t="shared" si="15"/>
        <v>21719.200000000001</v>
      </c>
      <c r="N134" s="2">
        <f t="shared" si="16"/>
        <v>13614.6</v>
      </c>
      <c r="O134" s="7">
        <f t="shared" si="12"/>
        <v>0.81574485401336094</v>
      </c>
      <c r="P134" s="9">
        <f t="shared" si="17"/>
        <v>104.27090307585181</v>
      </c>
      <c r="Q134" s="7">
        <f t="shared" si="13"/>
        <v>0.17251630551505082</v>
      </c>
      <c r="R134" s="9">
        <f t="shared" si="14"/>
        <v>5.7006618656597367E-3</v>
      </c>
      <c r="V134">
        <v>134555</v>
      </c>
      <c r="W134">
        <v>119140</v>
      </c>
      <c r="Y134">
        <v>175299</v>
      </c>
      <c r="Z134">
        <v>116374</v>
      </c>
      <c r="AB134">
        <v>58925</v>
      </c>
      <c r="AC134">
        <v>108423</v>
      </c>
    </row>
    <row r="135" spans="1:29" x14ac:dyDescent="0.3">
      <c r="A135" t="s">
        <v>145</v>
      </c>
      <c r="B135" t="s">
        <v>513</v>
      </c>
      <c r="C135">
        <v>2021</v>
      </c>
      <c r="D135" s="2">
        <v>93303</v>
      </c>
      <c r="E135" s="2">
        <v>69207</v>
      </c>
      <c r="F135" s="2">
        <v>24096</v>
      </c>
      <c r="G135" s="2">
        <v>119142</v>
      </c>
      <c r="H135" s="2">
        <v>44287</v>
      </c>
      <c r="I135" s="2">
        <v>74855</v>
      </c>
      <c r="J135" s="2">
        <v>65912</v>
      </c>
      <c r="K135" s="2">
        <v>12483058</v>
      </c>
      <c r="L135" s="2">
        <v>5562469</v>
      </c>
      <c r="M135" s="2">
        <f t="shared" si="15"/>
        <v>18660.599999999999</v>
      </c>
      <c r="N135" s="2">
        <f t="shared" si="16"/>
        <v>4819.2</v>
      </c>
      <c r="O135" s="7">
        <f t="shared" si="12"/>
        <v>0.55322220543553069</v>
      </c>
      <c r="P135" s="9">
        <f t="shared" si="17"/>
        <v>44.560147040893341</v>
      </c>
      <c r="Q135" s="7">
        <f t="shared" si="13"/>
        <v>0.37171610347316647</v>
      </c>
      <c r="R135" s="9">
        <f t="shared" si="14"/>
        <v>1.9302962463204128E-3</v>
      </c>
      <c r="V135">
        <v>108596</v>
      </c>
      <c r="W135">
        <v>68073</v>
      </c>
      <c r="Y135">
        <v>176934</v>
      </c>
      <c r="Z135">
        <v>146410</v>
      </c>
      <c r="AB135">
        <v>30524</v>
      </c>
      <c r="AC135">
        <v>144333</v>
      </c>
    </row>
    <row r="136" spans="1:29" x14ac:dyDescent="0.3">
      <c r="A136" t="s">
        <v>146</v>
      </c>
      <c r="B136" t="s">
        <v>513</v>
      </c>
      <c r="C136">
        <v>2021</v>
      </c>
      <c r="D136" s="2">
        <v>152974</v>
      </c>
      <c r="E136" s="2">
        <v>28574</v>
      </c>
      <c r="F136" s="2">
        <v>124400</v>
      </c>
      <c r="G136" s="2">
        <v>153584</v>
      </c>
      <c r="H136" s="2">
        <v>34096</v>
      </c>
      <c r="I136" s="2">
        <v>119488</v>
      </c>
      <c r="J136" s="2">
        <v>115296</v>
      </c>
      <c r="K136" s="2">
        <v>9883680</v>
      </c>
      <c r="L136" s="2">
        <v>6681262</v>
      </c>
      <c r="M136" s="2">
        <f t="shared" si="15"/>
        <v>30594.799999999999</v>
      </c>
      <c r="N136" s="2">
        <f t="shared" si="16"/>
        <v>24880</v>
      </c>
      <c r="O136" s="7">
        <f t="shared" si="12"/>
        <v>0.75070319824981768</v>
      </c>
      <c r="P136" s="9">
        <f t="shared" si="17"/>
        <v>67.598930762630928</v>
      </c>
      <c r="Q136" s="7">
        <f t="shared" si="13"/>
        <v>0.22200229190540682</v>
      </c>
      <c r="R136" s="9">
        <f t="shared" si="14"/>
        <v>1.258640506370097E-2</v>
      </c>
      <c r="V136">
        <v>93303</v>
      </c>
      <c r="W136">
        <v>24096</v>
      </c>
      <c r="Y136">
        <v>119142</v>
      </c>
      <c r="Z136">
        <v>74855</v>
      </c>
      <c r="AB136">
        <v>44287</v>
      </c>
      <c r="AC136">
        <v>65912</v>
      </c>
    </row>
    <row r="137" spans="1:29" x14ac:dyDescent="0.3">
      <c r="A137" t="s">
        <v>147</v>
      </c>
      <c r="B137" t="s">
        <v>513</v>
      </c>
      <c r="C137">
        <v>2021</v>
      </c>
      <c r="D137" s="2">
        <v>199453</v>
      </c>
      <c r="E137" s="2">
        <v>46455</v>
      </c>
      <c r="F137" s="2">
        <v>152998</v>
      </c>
      <c r="G137" s="2">
        <v>265261</v>
      </c>
      <c r="H137" s="2">
        <v>19018</v>
      </c>
      <c r="I137" s="2">
        <v>246243</v>
      </c>
      <c r="J137" s="2">
        <v>232941</v>
      </c>
      <c r="K137" s="2">
        <v>12905477</v>
      </c>
      <c r="L137" s="2">
        <v>13016389</v>
      </c>
      <c r="M137" s="2">
        <f t="shared" si="15"/>
        <v>39890.6</v>
      </c>
      <c r="N137" s="2">
        <f t="shared" si="16"/>
        <v>30599.599999999999</v>
      </c>
      <c r="O137" s="7">
        <f t="shared" si="12"/>
        <v>0.87815773898160676</v>
      </c>
      <c r="P137" s="9">
        <f t="shared" si="17"/>
        <v>100.85941805947971</v>
      </c>
      <c r="Q137" s="7">
        <f t="shared" si="13"/>
        <v>7.1695424506429517E-2</v>
      </c>
      <c r="R137" s="9">
        <f t="shared" si="14"/>
        <v>1.1855276639522894E-2</v>
      </c>
      <c r="V137">
        <v>152974</v>
      </c>
      <c r="W137">
        <v>124400</v>
      </c>
      <c r="Y137">
        <v>153584</v>
      </c>
      <c r="Z137">
        <v>119488</v>
      </c>
      <c r="AB137">
        <v>34096</v>
      </c>
      <c r="AC137">
        <v>115296</v>
      </c>
    </row>
    <row r="138" spans="1:29" x14ac:dyDescent="0.3">
      <c r="A138" t="s">
        <v>148</v>
      </c>
      <c r="B138" t="s">
        <v>513</v>
      </c>
      <c r="C138">
        <v>2021</v>
      </c>
      <c r="D138" s="2">
        <v>146646</v>
      </c>
      <c r="E138" s="2">
        <v>34519</v>
      </c>
      <c r="F138" s="2">
        <v>112127</v>
      </c>
      <c r="G138" s="2">
        <v>228936</v>
      </c>
      <c r="H138" s="2">
        <v>71819</v>
      </c>
      <c r="I138" s="2">
        <v>157117</v>
      </c>
      <c r="J138" s="2">
        <v>139743</v>
      </c>
      <c r="K138" s="2">
        <v>17392092</v>
      </c>
      <c r="L138" s="2">
        <v>12496563</v>
      </c>
      <c r="M138" s="2">
        <f t="shared" si="15"/>
        <v>29329.200000000001</v>
      </c>
      <c r="N138" s="2">
        <f t="shared" si="16"/>
        <v>22425.4</v>
      </c>
      <c r="O138" s="7">
        <f t="shared" si="12"/>
        <v>0.61040203375615898</v>
      </c>
      <c r="P138" s="9">
        <f t="shared" si="17"/>
        <v>71.851983073686583</v>
      </c>
      <c r="Q138" s="7">
        <f t="shared" si="13"/>
        <v>0.31370776112101201</v>
      </c>
      <c r="R138" s="9">
        <f t="shared" si="14"/>
        <v>6.4470105148937808E-3</v>
      </c>
      <c r="V138">
        <v>199453</v>
      </c>
      <c r="W138">
        <v>152998</v>
      </c>
      <c r="Y138">
        <v>265261</v>
      </c>
      <c r="Z138">
        <v>246243</v>
      </c>
      <c r="AB138">
        <v>19018</v>
      </c>
      <c r="AC138">
        <v>232941</v>
      </c>
    </row>
    <row r="139" spans="1:29" x14ac:dyDescent="0.3">
      <c r="A139" t="s">
        <v>149</v>
      </c>
      <c r="B139" t="s">
        <v>513</v>
      </c>
      <c r="C139">
        <v>2021</v>
      </c>
      <c r="D139" s="2">
        <v>75053</v>
      </c>
      <c r="E139" s="2">
        <v>19446</v>
      </c>
      <c r="F139" s="2">
        <v>55607</v>
      </c>
      <c r="G139" s="2">
        <v>76529</v>
      </c>
      <c r="H139" s="2">
        <v>66356</v>
      </c>
      <c r="I139" s="2">
        <v>10173</v>
      </c>
      <c r="J139" s="2">
        <v>-2616</v>
      </c>
      <c r="K139" s="2">
        <v>15321336</v>
      </c>
      <c r="L139" s="2">
        <v>13288100</v>
      </c>
      <c r="M139" s="2">
        <f t="shared" si="15"/>
        <v>15010.6</v>
      </c>
      <c r="N139" s="2">
        <f t="shared" si="16"/>
        <v>11121.4</v>
      </c>
      <c r="O139" s="7">
        <f t="shared" si="12"/>
        <v>-3.4183120124397288E-2</v>
      </c>
      <c r="P139" s="9">
        <f t="shared" si="17"/>
        <v>86.729381824143786</v>
      </c>
      <c r="Q139" s="7">
        <f t="shared" si="13"/>
        <v>0.86706999960799169</v>
      </c>
      <c r="R139" s="9">
        <f t="shared" si="14"/>
        <v>3.6293832339425228E-3</v>
      </c>
      <c r="V139">
        <v>146646</v>
      </c>
      <c r="W139">
        <v>112127</v>
      </c>
      <c r="Y139">
        <v>228936</v>
      </c>
      <c r="Z139">
        <v>157117</v>
      </c>
      <c r="AB139">
        <v>71819</v>
      </c>
      <c r="AC139">
        <v>139743</v>
      </c>
    </row>
    <row r="140" spans="1:29" x14ac:dyDescent="0.3">
      <c r="A140" t="s">
        <v>150</v>
      </c>
      <c r="B140" t="s">
        <v>513</v>
      </c>
      <c r="C140">
        <v>2021</v>
      </c>
      <c r="D140" s="2">
        <v>82154</v>
      </c>
      <c r="E140" s="2">
        <v>12336</v>
      </c>
      <c r="F140" s="2">
        <v>69818</v>
      </c>
      <c r="G140" s="2">
        <v>157597</v>
      </c>
      <c r="H140" s="2">
        <v>34029</v>
      </c>
      <c r="I140" s="2">
        <v>123568</v>
      </c>
      <c r="J140" s="2">
        <v>116956</v>
      </c>
      <c r="K140" s="2">
        <v>12583354</v>
      </c>
      <c r="L140" s="2">
        <v>6131209</v>
      </c>
      <c r="M140" s="2">
        <f t="shared" si="15"/>
        <v>16430.8</v>
      </c>
      <c r="N140" s="2">
        <f t="shared" si="16"/>
        <v>13963.6</v>
      </c>
      <c r="O140" s="7">
        <f t="shared" si="12"/>
        <v>0.74212072564833087</v>
      </c>
      <c r="P140" s="9">
        <f t="shared" si="17"/>
        <v>48.724759710328428</v>
      </c>
      <c r="Q140" s="7">
        <f t="shared" si="13"/>
        <v>0.21592416099291231</v>
      </c>
      <c r="R140" s="9">
        <f t="shared" si="14"/>
        <v>5.5484412184541579E-3</v>
      </c>
      <c r="V140">
        <v>75053</v>
      </c>
      <c r="W140">
        <v>55607</v>
      </c>
      <c r="Y140">
        <v>76529</v>
      </c>
      <c r="Z140">
        <v>10173</v>
      </c>
      <c r="AB140">
        <v>66356</v>
      </c>
      <c r="AC140">
        <v>-2616</v>
      </c>
    </row>
    <row r="141" spans="1:29" x14ac:dyDescent="0.3">
      <c r="A141" t="s">
        <v>151</v>
      </c>
      <c r="B141" t="s">
        <v>513</v>
      </c>
      <c r="C141">
        <v>2021</v>
      </c>
      <c r="D141" s="2">
        <v>96197</v>
      </c>
      <c r="E141" s="2">
        <v>65180</v>
      </c>
      <c r="F141" s="2">
        <v>31017</v>
      </c>
      <c r="G141" s="2">
        <v>74727</v>
      </c>
      <c r="H141" s="2">
        <v>44486</v>
      </c>
      <c r="I141" s="2">
        <v>30241</v>
      </c>
      <c r="J141" s="2">
        <v>21870</v>
      </c>
      <c r="K141" s="2">
        <v>15688727</v>
      </c>
      <c r="L141" s="2">
        <v>13288051</v>
      </c>
      <c r="M141" s="2">
        <f t="shared" si="15"/>
        <v>19239.400000000001</v>
      </c>
      <c r="N141" s="2">
        <f t="shared" si="16"/>
        <v>6203.4</v>
      </c>
      <c r="O141" s="7">
        <f t="shared" si="12"/>
        <v>0.29266530169818139</v>
      </c>
      <c r="P141" s="9">
        <f t="shared" si="17"/>
        <v>84.698082897356812</v>
      </c>
      <c r="Q141" s="7">
        <f t="shared" si="13"/>
        <v>0.5953136082005166</v>
      </c>
      <c r="R141" s="9">
        <f t="shared" si="14"/>
        <v>1.9770246496098758E-3</v>
      </c>
      <c r="V141">
        <v>82154</v>
      </c>
      <c r="W141">
        <v>69818</v>
      </c>
      <c r="Y141">
        <v>157597</v>
      </c>
      <c r="Z141">
        <v>123568</v>
      </c>
      <c r="AB141">
        <v>34029</v>
      </c>
      <c r="AC141">
        <v>116956</v>
      </c>
    </row>
    <row r="142" spans="1:29" x14ac:dyDescent="0.3">
      <c r="A142" t="s">
        <v>152</v>
      </c>
      <c r="B142" t="s">
        <v>513</v>
      </c>
      <c r="C142">
        <v>2022</v>
      </c>
      <c r="D142" s="2">
        <v>90631</v>
      </c>
      <c r="E142" s="2">
        <v>30103</v>
      </c>
      <c r="F142" s="2">
        <v>60528</v>
      </c>
      <c r="G142" s="2">
        <v>145300</v>
      </c>
      <c r="H142" s="2">
        <v>29382</v>
      </c>
      <c r="I142" s="2">
        <v>115918</v>
      </c>
      <c r="J142" s="2">
        <v>111027</v>
      </c>
      <c r="K142" s="2">
        <v>15096300</v>
      </c>
      <c r="L142" s="2">
        <v>8525633</v>
      </c>
      <c r="M142" s="2">
        <f t="shared" si="15"/>
        <v>18126.2</v>
      </c>
      <c r="N142" s="2">
        <f t="shared" si="16"/>
        <v>12105.6</v>
      </c>
      <c r="O142" s="7">
        <f t="shared" si="12"/>
        <v>0.7641225051617343</v>
      </c>
      <c r="P142" s="9">
        <f t="shared" si="17"/>
        <v>56.474983936461257</v>
      </c>
      <c r="Q142" s="7">
        <f t="shared" si="13"/>
        <v>0.20221610461114933</v>
      </c>
      <c r="R142" s="9">
        <f t="shared" si="14"/>
        <v>4.0094592714771168E-3</v>
      </c>
      <c r="V142">
        <v>96197</v>
      </c>
      <c r="W142">
        <v>31017</v>
      </c>
      <c r="Y142">
        <v>74727</v>
      </c>
      <c r="Z142">
        <v>30241</v>
      </c>
      <c r="AB142">
        <v>44486</v>
      </c>
      <c r="AC142">
        <v>21870</v>
      </c>
    </row>
    <row r="143" spans="1:29" x14ac:dyDescent="0.3">
      <c r="A143" t="s">
        <v>153</v>
      </c>
      <c r="B143" t="s">
        <v>513</v>
      </c>
      <c r="C143">
        <v>2022</v>
      </c>
      <c r="D143" s="2">
        <v>197550</v>
      </c>
      <c r="E143" s="2">
        <v>49666</v>
      </c>
      <c r="F143" s="2">
        <v>147884</v>
      </c>
      <c r="G143" s="2">
        <v>243567</v>
      </c>
      <c r="H143" s="2">
        <v>86315</v>
      </c>
      <c r="I143" s="2">
        <v>157252</v>
      </c>
      <c r="J143" s="2">
        <v>142954</v>
      </c>
      <c r="K143" s="2">
        <v>13776957</v>
      </c>
      <c r="L143" s="2">
        <v>12451337</v>
      </c>
      <c r="M143" s="2">
        <f t="shared" si="15"/>
        <v>39510</v>
      </c>
      <c r="N143" s="2">
        <f t="shared" si="16"/>
        <v>29576.799999999999</v>
      </c>
      <c r="O143" s="7">
        <f t="shared" si="12"/>
        <v>0.58691858913563821</v>
      </c>
      <c r="P143" s="9">
        <f t="shared" si="17"/>
        <v>90.377991308240269</v>
      </c>
      <c r="Q143" s="7">
        <f t="shared" si="13"/>
        <v>0.3543788772699093</v>
      </c>
      <c r="R143" s="9">
        <f t="shared" si="14"/>
        <v>1.0734155590381824E-2</v>
      </c>
      <c r="V143">
        <v>90631</v>
      </c>
      <c r="W143">
        <v>60528</v>
      </c>
      <c r="Y143">
        <v>145300</v>
      </c>
      <c r="Z143">
        <v>115918</v>
      </c>
      <c r="AB143">
        <v>29382</v>
      </c>
      <c r="AC143">
        <v>111027</v>
      </c>
    </row>
    <row r="144" spans="1:29" x14ac:dyDescent="0.3">
      <c r="A144" t="s">
        <v>154</v>
      </c>
      <c r="B144" t="s">
        <v>513</v>
      </c>
      <c r="C144">
        <v>2022</v>
      </c>
      <c r="D144" s="2">
        <v>126325</v>
      </c>
      <c r="E144" s="2">
        <v>22999</v>
      </c>
      <c r="F144" s="2">
        <v>103326</v>
      </c>
      <c r="G144" s="2">
        <v>178644</v>
      </c>
      <c r="H144" s="2">
        <v>15814</v>
      </c>
      <c r="I144" s="2">
        <v>162830</v>
      </c>
      <c r="J144" s="2">
        <v>144101</v>
      </c>
      <c r="K144" s="2">
        <v>13464685</v>
      </c>
      <c r="L144" s="2">
        <v>10168362</v>
      </c>
      <c r="M144" s="2">
        <f t="shared" si="15"/>
        <v>25265</v>
      </c>
      <c r="N144" s="2">
        <f t="shared" si="16"/>
        <v>20665.2</v>
      </c>
      <c r="O144" s="7">
        <f t="shared" si="12"/>
        <v>0.80663778240523054</v>
      </c>
      <c r="P144" s="9">
        <f t="shared" si="17"/>
        <v>75.518751459837347</v>
      </c>
      <c r="Q144" s="7">
        <f t="shared" si="13"/>
        <v>8.8522424486688608E-2</v>
      </c>
      <c r="R144" s="9">
        <f t="shared" si="14"/>
        <v>7.6738520061924954E-3</v>
      </c>
      <c r="V144">
        <v>197550</v>
      </c>
      <c r="W144">
        <v>147884</v>
      </c>
      <c r="Y144">
        <v>243567</v>
      </c>
      <c r="Z144">
        <v>157252</v>
      </c>
      <c r="AB144">
        <v>86315</v>
      </c>
      <c r="AC144">
        <v>142954</v>
      </c>
    </row>
    <row r="145" spans="1:29" x14ac:dyDescent="0.3">
      <c r="A145" t="s">
        <v>155</v>
      </c>
      <c r="B145" t="s">
        <v>513</v>
      </c>
      <c r="C145">
        <v>2022</v>
      </c>
      <c r="D145" s="2">
        <v>183515</v>
      </c>
      <c r="E145" s="2">
        <v>27368</v>
      </c>
      <c r="F145" s="2">
        <v>156147</v>
      </c>
      <c r="G145" s="2">
        <v>191475</v>
      </c>
      <c r="H145" s="2">
        <v>71942</v>
      </c>
      <c r="I145" s="2">
        <v>119533</v>
      </c>
      <c r="J145" s="2">
        <v>116706</v>
      </c>
      <c r="K145" s="2">
        <v>18396650</v>
      </c>
      <c r="L145" s="2">
        <v>13440139</v>
      </c>
      <c r="M145" s="2">
        <f t="shared" si="15"/>
        <v>36703</v>
      </c>
      <c r="N145" s="2">
        <f t="shared" si="16"/>
        <v>31229.4</v>
      </c>
      <c r="O145" s="7">
        <f t="shared" si="12"/>
        <v>0.60951037994516255</v>
      </c>
      <c r="P145" s="9">
        <f t="shared" si="17"/>
        <v>73.057534931631579</v>
      </c>
      <c r="Q145" s="7">
        <f t="shared" si="13"/>
        <v>0.37572529050789921</v>
      </c>
      <c r="R145" s="9">
        <f t="shared" si="14"/>
        <v>8.4877953323023482E-3</v>
      </c>
      <c r="V145">
        <v>126325</v>
      </c>
      <c r="W145">
        <v>103326</v>
      </c>
      <c r="Y145">
        <v>178644</v>
      </c>
      <c r="Z145">
        <v>162830</v>
      </c>
      <c r="AB145">
        <v>15814</v>
      </c>
      <c r="AC145">
        <v>144101</v>
      </c>
    </row>
    <row r="146" spans="1:29" x14ac:dyDescent="0.3">
      <c r="A146" t="s">
        <v>156</v>
      </c>
      <c r="B146" t="s">
        <v>513</v>
      </c>
      <c r="C146">
        <v>2022</v>
      </c>
      <c r="D146" s="2">
        <v>87219</v>
      </c>
      <c r="E146" s="2">
        <v>74644</v>
      </c>
      <c r="F146" s="2">
        <v>12575</v>
      </c>
      <c r="G146" s="2">
        <v>92854</v>
      </c>
      <c r="H146" s="2">
        <v>68028</v>
      </c>
      <c r="I146" s="2">
        <v>24826</v>
      </c>
      <c r="J146" s="2">
        <v>16867</v>
      </c>
      <c r="K146" s="2">
        <v>17583038</v>
      </c>
      <c r="L146" s="2">
        <v>3838761</v>
      </c>
      <c r="M146" s="2">
        <f t="shared" si="15"/>
        <v>17443.8</v>
      </c>
      <c r="N146" s="2">
        <f t="shared" si="16"/>
        <v>2515</v>
      </c>
      <c r="O146" s="7">
        <f t="shared" si="12"/>
        <v>0.18165076356430526</v>
      </c>
      <c r="P146" s="9">
        <f t="shared" si="17"/>
        <v>21.832182811639264</v>
      </c>
      <c r="Q146" s="7">
        <f t="shared" si="13"/>
        <v>0.73263402761324226</v>
      </c>
      <c r="R146" s="9">
        <f t="shared" si="14"/>
        <v>7.1517788905421241E-4</v>
      </c>
      <c r="V146">
        <v>183515</v>
      </c>
      <c r="W146">
        <v>156147</v>
      </c>
      <c r="Y146">
        <v>191475</v>
      </c>
      <c r="Z146">
        <v>119533</v>
      </c>
      <c r="AB146">
        <v>71942</v>
      </c>
      <c r="AC146">
        <v>116706</v>
      </c>
    </row>
    <row r="147" spans="1:29" x14ac:dyDescent="0.3">
      <c r="A147" t="s">
        <v>157</v>
      </c>
      <c r="B147" t="s">
        <v>513</v>
      </c>
      <c r="C147">
        <v>2022</v>
      </c>
      <c r="D147" s="2">
        <v>77632</v>
      </c>
      <c r="E147" s="2">
        <v>75310</v>
      </c>
      <c r="F147" s="2">
        <v>2322</v>
      </c>
      <c r="G147" s="2">
        <v>77498</v>
      </c>
      <c r="H147" s="2">
        <v>59327</v>
      </c>
      <c r="I147" s="2">
        <v>18171</v>
      </c>
      <c r="J147" s="2">
        <v>12803</v>
      </c>
      <c r="K147" s="2">
        <v>7276106</v>
      </c>
      <c r="L147" s="2">
        <v>9960534</v>
      </c>
      <c r="M147" s="2">
        <f t="shared" si="15"/>
        <v>15526.4</v>
      </c>
      <c r="N147" s="2">
        <f t="shared" si="16"/>
        <v>464.4</v>
      </c>
      <c r="O147" s="7">
        <f t="shared" si="12"/>
        <v>0.16520426333582802</v>
      </c>
      <c r="P147" s="9">
        <f t="shared" si="17"/>
        <v>136.89374508837557</v>
      </c>
      <c r="Q147" s="7">
        <f t="shared" si="13"/>
        <v>0.76552943301762622</v>
      </c>
      <c r="R147" s="9">
        <f t="shared" si="14"/>
        <v>3.1912674169397754E-4</v>
      </c>
      <c r="V147">
        <v>87219</v>
      </c>
      <c r="W147">
        <v>12575</v>
      </c>
      <c r="Y147">
        <v>92854</v>
      </c>
      <c r="Z147">
        <v>24826</v>
      </c>
      <c r="AB147">
        <v>68028</v>
      </c>
      <c r="AC147">
        <v>16867</v>
      </c>
    </row>
    <row r="148" spans="1:29" x14ac:dyDescent="0.3">
      <c r="A148" t="s">
        <v>158</v>
      </c>
      <c r="B148" t="s">
        <v>513</v>
      </c>
      <c r="C148">
        <v>2022</v>
      </c>
      <c r="D148" s="2">
        <v>84560</v>
      </c>
      <c r="E148" s="2">
        <v>32116</v>
      </c>
      <c r="F148" s="2">
        <v>52444</v>
      </c>
      <c r="G148" s="2">
        <v>108688</v>
      </c>
      <c r="H148" s="2">
        <v>16645</v>
      </c>
      <c r="I148" s="2">
        <v>92043</v>
      </c>
      <c r="J148" s="2">
        <v>75288</v>
      </c>
      <c r="K148" s="2">
        <v>11671318</v>
      </c>
      <c r="L148" s="2">
        <v>3494592</v>
      </c>
      <c r="M148" s="2">
        <f t="shared" si="15"/>
        <v>16912</v>
      </c>
      <c r="N148" s="2">
        <f t="shared" si="16"/>
        <v>10488.8</v>
      </c>
      <c r="O148" s="7">
        <f t="shared" si="12"/>
        <v>0.69269836596496392</v>
      </c>
      <c r="P148" s="9">
        <f t="shared" si="17"/>
        <v>29.941708382892145</v>
      </c>
      <c r="Q148" s="7">
        <f t="shared" si="13"/>
        <v>0.15314478139261004</v>
      </c>
      <c r="R148" s="9">
        <f t="shared" si="14"/>
        <v>4.4934085422057733E-3</v>
      </c>
      <c r="V148">
        <v>77632</v>
      </c>
      <c r="W148">
        <v>2322</v>
      </c>
      <c r="Y148">
        <v>77498</v>
      </c>
      <c r="Z148">
        <v>18171</v>
      </c>
      <c r="AB148">
        <v>59327</v>
      </c>
      <c r="AC148">
        <v>12803</v>
      </c>
    </row>
    <row r="149" spans="1:29" x14ac:dyDescent="0.3">
      <c r="A149" t="s">
        <v>159</v>
      </c>
      <c r="B149" t="s">
        <v>513</v>
      </c>
      <c r="C149">
        <v>2022</v>
      </c>
      <c r="D149" s="2">
        <v>150158</v>
      </c>
      <c r="E149" s="2">
        <v>63173</v>
      </c>
      <c r="F149" s="2">
        <v>86985</v>
      </c>
      <c r="G149" s="2">
        <v>144415</v>
      </c>
      <c r="H149" s="2">
        <v>54282</v>
      </c>
      <c r="I149" s="2">
        <v>90133</v>
      </c>
      <c r="J149" s="2">
        <v>85425</v>
      </c>
      <c r="K149" s="2">
        <v>6715630</v>
      </c>
      <c r="L149" s="2">
        <v>3318408</v>
      </c>
      <c r="M149" s="2">
        <f t="shared" si="15"/>
        <v>30031.599999999999</v>
      </c>
      <c r="N149" s="2">
        <f t="shared" si="16"/>
        <v>17397</v>
      </c>
      <c r="O149" s="7">
        <f t="shared" si="12"/>
        <v>0.59152442613301948</v>
      </c>
      <c r="P149" s="9">
        <f t="shared" si="17"/>
        <v>49.413204717949021</v>
      </c>
      <c r="Q149" s="7">
        <f t="shared" si="13"/>
        <v>0.37587508222830041</v>
      </c>
      <c r="R149" s="9">
        <f t="shared" si="14"/>
        <v>1.2952619486183724E-2</v>
      </c>
      <c r="V149">
        <v>84560</v>
      </c>
      <c r="W149">
        <v>52444</v>
      </c>
      <c r="Y149">
        <v>108688</v>
      </c>
      <c r="Z149">
        <v>92043</v>
      </c>
      <c r="AB149">
        <v>16645</v>
      </c>
      <c r="AC149">
        <v>75288</v>
      </c>
    </row>
    <row r="150" spans="1:29" x14ac:dyDescent="0.3">
      <c r="A150" t="s">
        <v>160</v>
      </c>
      <c r="B150" t="s">
        <v>513</v>
      </c>
      <c r="C150">
        <v>2022</v>
      </c>
      <c r="D150" s="2">
        <v>107545</v>
      </c>
      <c r="E150" s="2">
        <v>49224</v>
      </c>
      <c r="F150" s="2">
        <v>58321</v>
      </c>
      <c r="G150" s="2">
        <v>176266</v>
      </c>
      <c r="H150" s="2">
        <v>28224</v>
      </c>
      <c r="I150" s="2">
        <v>148042</v>
      </c>
      <c r="J150" s="2">
        <v>138072</v>
      </c>
      <c r="K150" s="2">
        <v>6898739</v>
      </c>
      <c r="L150" s="2">
        <v>12617944</v>
      </c>
      <c r="M150" s="2">
        <f t="shared" si="15"/>
        <v>21509</v>
      </c>
      <c r="N150" s="2">
        <f t="shared" si="16"/>
        <v>11664.2</v>
      </c>
      <c r="O150" s="7">
        <f t="shared" si="12"/>
        <v>0.78331612449366295</v>
      </c>
      <c r="P150" s="9">
        <f t="shared" si="17"/>
        <v>182.90217965921019</v>
      </c>
      <c r="Q150" s="7">
        <f t="shared" si="13"/>
        <v>0.16012163434808754</v>
      </c>
      <c r="R150" s="9">
        <f t="shared" si="14"/>
        <v>8.4538638148218097E-3</v>
      </c>
      <c r="V150">
        <v>150158</v>
      </c>
      <c r="W150">
        <v>86985</v>
      </c>
      <c r="Y150">
        <v>144415</v>
      </c>
      <c r="Z150">
        <v>90133</v>
      </c>
      <c r="AB150">
        <v>54282</v>
      </c>
      <c r="AC150">
        <v>85425</v>
      </c>
    </row>
    <row r="151" spans="1:29" x14ac:dyDescent="0.3">
      <c r="A151" t="s">
        <v>161</v>
      </c>
      <c r="B151" t="s">
        <v>513</v>
      </c>
      <c r="C151">
        <v>2022</v>
      </c>
      <c r="D151" s="2">
        <v>189649</v>
      </c>
      <c r="E151" s="2">
        <v>18070</v>
      </c>
      <c r="F151" s="2">
        <v>171579</v>
      </c>
      <c r="G151" s="2">
        <v>200245</v>
      </c>
      <c r="H151" s="2">
        <v>72761</v>
      </c>
      <c r="I151" s="2">
        <v>127484</v>
      </c>
      <c r="J151" s="2">
        <v>121884</v>
      </c>
      <c r="K151" s="2">
        <v>9856447</v>
      </c>
      <c r="L151" s="2">
        <v>11369066</v>
      </c>
      <c r="M151" s="2">
        <f t="shared" si="15"/>
        <v>37929.800000000003</v>
      </c>
      <c r="N151" s="2">
        <f t="shared" si="16"/>
        <v>34315.800000000003</v>
      </c>
      <c r="O151" s="7">
        <f t="shared" si="12"/>
        <v>0.60867437389198231</v>
      </c>
      <c r="P151" s="9">
        <f t="shared" si="17"/>
        <v>115.34649351840476</v>
      </c>
      <c r="Q151" s="7">
        <f t="shared" si="13"/>
        <v>0.36335988414192616</v>
      </c>
      <c r="R151" s="9">
        <f t="shared" si="14"/>
        <v>1.7407794106740492E-2</v>
      </c>
      <c r="V151">
        <v>107545</v>
      </c>
      <c r="W151">
        <v>58321</v>
      </c>
      <c r="Y151">
        <v>176266</v>
      </c>
      <c r="Z151">
        <v>148042</v>
      </c>
      <c r="AB151">
        <v>28224</v>
      </c>
      <c r="AC151">
        <v>138072</v>
      </c>
    </row>
    <row r="152" spans="1:29" x14ac:dyDescent="0.3">
      <c r="A152" t="s">
        <v>162</v>
      </c>
      <c r="B152" t="s">
        <v>513</v>
      </c>
      <c r="C152">
        <v>2022</v>
      </c>
      <c r="D152" s="2">
        <v>91914</v>
      </c>
      <c r="E152" s="2">
        <v>77526</v>
      </c>
      <c r="F152" s="2">
        <v>14388</v>
      </c>
      <c r="G152" s="2">
        <v>105223</v>
      </c>
      <c r="H152" s="2">
        <v>60765</v>
      </c>
      <c r="I152" s="2">
        <v>44458</v>
      </c>
      <c r="J152" s="2">
        <v>28986</v>
      </c>
      <c r="K152" s="2">
        <v>17966064</v>
      </c>
      <c r="L152" s="2">
        <v>13580030</v>
      </c>
      <c r="M152" s="2">
        <f t="shared" si="15"/>
        <v>18382.8</v>
      </c>
      <c r="N152" s="2">
        <f t="shared" si="16"/>
        <v>2877.6</v>
      </c>
      <c r="O152" s="7">
        <f t="shared" si="12"/>
        <v>0.27547209260332817</v>
      </c>
      <c r="P152" s="9">
        <f t="shared" si="17"/>
        <v>75.587118024292906</v>
      </c>
      <c r="Q152" s="7">
        <f t="shared" si="13"/>
        <v>0.57748781160012541</v>
      </c>
      <c r="R152" s="9">
        <f t="shared" si="14"/>
        <v>8.0084318969363578E-4</v>
      </c>
      <c r="V152">
        <v>189649</v>
      </c>
      <c r="W152">
        <v>171579</v>
      </c>
      <c r="Y152">
        <v>200245</v>
      </c>
      <c r="Z152">
        <v>127484</v>
      </c>
      <c r="AB152">
        <v>72761</v>
      </c>
      <c r="AC152">
        <v>121884</v>
      </c>
    </row>
    <row r="153" spans="1:29" x14ac:dyDescent="0.3">
      <c r="A153" t="s">
        <v>163</v>
      </c>
      <c r="B153" t="s">
        <v>513</v>
      </c>
      <c r="C153">
        <v>2022</v>
      </c>
      <c r="D153" s="2">
        <v>54757</v>
      </c>
      <c r="E153" s="2">
        <v>29097</v>
      </c>
      <c r="F153" s="2">
        <v>25660</v>
      </c>
      <c r="G153" s="2">
        <v>56055</v>
      </c>
      <c r="H153" s="2">
        <v>31241</v>
      </c>
      <c r="I153" s="2">
        <v>24814</v>
      </c>
      <c r="J153" s="2">
        <v>17226</v>
      </c>
      <c r="K153" s="2">
        <v>19838832</v>
      </c>
      <c r="L153" s="2">
        <v>12683910</v>
      </c>
      <c r="M153" s="2">
        <f t="shared" si="15"/>
        <v>10951.4</v>
      </c>
      <c r="N153" s="2">
        <f t="shared" si="16"/>
        <v>5132</v>
      </c>
      <c r="O153" s="7">
        <f t="shared" si="12"/>
        <v>0.30730532512710729</v>
      </c>
      <c r="P153" s="9">
        <f t="shared" si="17"/>
        <v>63.934761885175497</v>
      </c>
      <c r="Q153" s="7">
        <f t="shared" si="13"/>
        <v>0.55732762465435737</v>
      </c>
      <c r="R153" s="9">
        <f t="shared" si="14"/>
        <v>1.2934229192525044E-3</v>
      </c>
      <c r="V153">
        <v>91914</v>
      </c>
      <c r="W153">
        <v>14388</v>
      </c>
      <c r="Y153">
        <v>105223</v>
      </c>
      <c r="Z153">
        <v>44458</v>
      </c>
      <c r="AB153">
        <v>60765</v>
      </c>
      <c r="AC153">
        <v>28986</v>
      </c>
    </row>
    <row r="154" spans="1:29" x14ac:dyDescent="0.3">
      <c r="A154" t="s">
        <v>164</v>
      </c>
      <c r="B154" t="s">
        <v>513</v>
      </c>
      <c r="C154">
        <v>2022</v>
      </c>
      <c r="D154" s="2">
        <v>120480</v>
      </c>
      <c r="E154" s="2">
        <v>56163</v>
      </c>
      <c r="F154" s="2">
        <v>64317</v>
      </c>
      <c r="G154" s="2">
        <v>104133</v>
      </c>
      <c r="H154" s="2">
        <v>64840</v>
      </c>
      <c r="I154" s="2">
        <v>39293</v>
      </c>
      <c r="J154" s="2">
        <v>33050</v>
      </c>
      <c r="K154" s="2">
        <v>7412149</v>
      </c>
      <c r="L154" s="2">
        <v>8398869</v>
      </c>
      <c r="M154" s="2">
        <f t="shared" si="15"/>
        <v>24096</v>
      </c>
      <c r="N154" s="2">
        <f t="shared" si="16"/>
        <v>12863.4</v>
      </c>
      <c r="O154" s="7">
        <f t="shared" si="12"/>
        <v>0.31738257804922548</v>
      </c>
      <c r="P154" s="9">
        <f t="shared" si="17"/>
        <v>113.3121986619535</v>
      </c>
      <c r="Q154" s="7">
        <f t="shared" si="13"/>
        <v>0.6226652454073156</v>
      </c>
      <c r="R154" s="9">
        <f t="shared" si="14"/>
        <v>8.677240568153716E-3</v>
      </c>
      <c r="V154">
        <v>54757</v>
      </c>
      <c r="W154">
        <v>25660</v>
      </c>
      <c r="Y154">
        <v>56055</v>
      </c>
      <c r="Z154">
        <v>24814</v>
      </c>
      <c r="AB154">
        <v>31241</v>
      </c>
      <c r="AC154">
        <v>17226</v>
      </c>
    </row>
    <row r="155" spans="1:29" x14ac:dyDescent="0.3">
      <c r="A155" t="s">
        <v>165</v>
      </c>
      <c r="B155" t="s">
        <v>513</v>
      </c>
      <c r="C155">
        <v>2022</v>
      </c>
      <c r="D155" s="2">
        <v>146731</v>
      </c>
      <c r="E155" s="2">
        <v>31566</v>
      </c>
      <c r="F155" s="2">
        <v>115165</v>
      </c>
      <c r="G155" s="2">
        <v>210617</v>
      </c>
      <c r="H155" s="2">
        <v>77823</v>
      </c>
      <c r="I155" s="2">
        <v>132794</v>
      </c>
      <c r="J155" s="2">
        <v>120810</v>
      </c>
      <c r="K155" s="2">
        <v>10768927</v>
      </c>
      <c r="L155" s="2">
        <v>5878604</v>
      </c>
      <c r="M155" s="2">
        <f t="shared" si="15"/>
        <v>29346.2</v>
      </c>
      <c r="N155" s="2">
        <f t="shared" si="16"/>
        <v>23033</v>
      </c>
      <c r="O155" s="7">
        <f t="shared" si="12"/>
        <v>0.57360042161838787</v>
      </c>
      <c r="P155" s="9">
        <f t="shared" si="17"/>
        <v>54.588576930644997</v>
      </c>
      <c r="Q155" s="7">
        <f t="shared" si="13"/>
        <v>0.36950008783716415</v>
      </c>
      <c r="R155" s="9">
        <f t="shared" si="14"/>
        <v>1.0694194509815137E-2</v>
      </c>
      <c r="V155">
        <v>120480</v>
      </c>
      <c r="W155">
        <v>64317</v>
      </c>
      <c r="Y155">
        <v>104133</v>
      </c>
      <c r="Z155">
        <v>39293</v>
      </c>
      <c r="AB155">
        <v>64840</v>
      </c>
      <c r="AC155">
        <v>33050</v>
      </c>
    </row>
    <row r="156" spans="1:29" x14ac:dyDescent="0.3">
      <c r="A156" t="s">
        <v>166</v>
      </c>
      <c r="B156" t="s">
        <v>513</v>
      </c>
      <c r="C156">
        <v>2022</v>
      </c>
      <c r="D156" s="2">
        <v>142374</v>
      </c>
      <c r="E156" s="2">
        <v>12482</v>
      </c>
      <c r="F156" s="2">
        <v>129892</v>
      </c>
      <c r="G156" s="2">
        <v>174334</v>
      </c>
      <c r="H156" s="2">
        <v>48719</v>
      </c>
      <c r="I156" s="2">
        <v>125615</v>
      </c>
      <c r="J156" s="2">
        <v>121536</v>
      </c>
      <c r="K156" s="2">
        <v>19551709</v>
      </c>
      <c r="L156" s="2">
        <v>8984684</v>
      </c>
      <c r="M156" s="2">
        <f t="shared" si="15"/>
        <v>28474.799999999999</v>
      </c>
      <c r="N156" s="2">
        <f t="shared" si="16"/>
        <v>25978.400000000001</v>
      </c>
      <c r="O156" s="7">
        <f t="shared" si="12"/>
        <v>0.69714456158867466</v>
      </c>
      <c r="P156" s="9">
        <f t="shared" si="17"/>
        <v>45.953445808752576</v>
      </c>
      <c r="Q156" s="7">
        <f t="shared" si="13"/>
        <v>0.27945782234102357</v>
      </c>
      <c r="R156" s="9">
        <f t="shared" si="14"/>
        <v>6.6435113165810725E-3</v>
      </c>
      <c r="V156">
        <v>146731</v>
      </c>
      <c r="W156">
        <v>115165</v>
      </c>
      <c r="Y156">
        <v>210617</v>
      </c>
      <c r="Z156">
        <v>132794</v>
      </c>
      <c r="AB156">
        <v>77823</v>
      </c>
      <c r="AC156">
        <v>120810</v>
      </c>
    </row>
    <row r="157" spans="1:29" x14ac:dyDescent="0.3">
      <c r="A157" t="s">
        <v>167</v>
      </c>
      <c r="B157" t="s">
        <v>513</v>
      </c>
      <c r="C157">
        <v>2022</v>
      </c>
      <c r="D157" s="2">
        <v>140397</v>
      </c>
      <c r="E157" s="2">
        <v>28449</v>
      </c>
      <c r="F157" s="2">
        <v>111948</v>
      </c>
      <c r="G157" s="2">
        <v>165484</v>
      </c>
      <c r="H157" s="2">
        <v>79077</v>
      </c>
      <c r="I157" s="2">
        <v>86407</v>
      </c>
      <c r="J157" s="2">
        <v>78917</v>
      </c>
      <c r="K157" s="2">
        <v>5703662</v>
      </c>
      <c r="L157" s="2">
        <v>4305585</v>
      </c>
      <c r="M157" s="2">
        <f t="shared" si="15"/>
        <v>28079.4</v>
      </c>
      <c r="N157" s="2">
        <f t="shared" si="16"/>
        <v>22389.599999999999</v>
      </c>
      <c r="O157" s="7">
        <f t="shared" si="12"/>
        <v>0.47688598293490608</v>
      </c>
      <c r="P157" s="9">
        <f t="shared" si="17"/>
        <v>75.488081166099946</v>
      </c>
      <c r="Q157" s="7">
        <f t="shared" si="13"/>
        <v>0.47785284377945902</v>
      </c>
      <c r="R157" s="9">
        <f t="shared" si="14"/>
        <v>1.9627390262606726E-2</v>
      </c>
      <c r="V157">
        <v>142374</v>
      </c>
      <c r="W157">
        <v>129892</v>
      </c>
      <c r="Y157">
        <v>174334</v>
      </c>
      <c r="Z157">
        <v>125615</v>
      </c>
      <c r="AB157">
        <v>48719</v>
      </c>
      <c r="AC157">
        <v>121536</v>
      </c>
    </row>
    <row r="158" spans="1:29" x14ac:dyDescent="0.3">
      <c r="A158" t="s">
        <v>168</v>
      </c>
      <c r="B158" t="s">
        <v>513</v>
      </c>
      <c r="C158">
        <v>2022</v>
      </c>
      <c r="D158" s="2">
        <v>187717</v>
      </c>
      <c r="E158" s="2">
        <v>48000</v>
      </c>
      <c r="F158" s="2">
        <v>139717</v>
      </c>
      <c r="G158" s="2">
        <v>186454</v>
      </c>
      <c r="H158" s="2">
        <v>26485</v>
      </c>
      <c r="I158" s="2">
        <v>159969</v>
      </c>
      <c r="J158" s="2">
        <v>152172</v>
      </c>
      <c r="K158" s="2">
        <v>17440382</v>
      </c>
      <c r="L158" s="2">
        <v>9094467</v>
      </c>
      <c r="M158" s="2">
        <f t="shared" si="15"/>
        <v>37543.4</v>
      </c>
      <c r="N158" s="2">
        <f t="shared" si="16"/>
        <v>27943.4</v>
      </c>
      <c r="O158" s="7">
        <f t="shared" si="12"/>
        <v>0.81613695603205083</v>
      </c>
      <c r="P158" s="9">
        <f t="shared" si="17"/>
        <v>52.146030975697663</v>
      </c>
      <c r="Q158" s="7">
        <f t="shared" si="13"/>
        <v>0.14204575927574631</v>
      </c>
      <c r="R158" s="9">
        <f t="shared" si="14"/>
        <v>8.0111203986242968E-3</v>
      </c>
      <c r="V158">
        <v>140397</v>
      </c>
      <c r="W158">
        <v>111948</v>
      </c>
      <c r="Y158">
        <v>165484</v>
      </c>
      <c r="Z158">
        <v>86407</v>
      </c>
      <c r="AB158">
        <v>79077</v>
      </c>
      <c r="AC158">
        <v>78917</v>
      </c>
    </row>
    <row r="159" spans="1:29" x14ac:dyDescent="0.3">
      <c r="A159" t="s">
        <v>169</v>
      </c>
      <c r="B159" t="s">
        <v>513</v>
      </c>
      <c r="C159">
        <v>2022</v>
      </c>
      <c r="D159" s="2">
        <v>102487</v>
      </c>
      <c r="E159" s="2">
        <v>22342</v>
      </c>
      <c r="F159" s="2">
        <v>80145</v>
      </c>
      <c r="G159" s="2">
        <v>140951</v>
      </c>
      <c r="H159" s="2">
        <v>63770</v>
      </c>
      <c r="I159" s="2">
        <v>77181</v>
      </c>
      <c r="J159" s="2">
        <v>62094</v>
      </c>
      <c r="K159" s="2">
        <v>16899657</v>
      </c>
      <c r="L159" s="2">
        <v>8211593</v>
      </c>
      <c r="M159" s="2">
        <f t="shared" si="15"/>
        <v>20497.400000000001</v>
      </c>
      <c r="N159" s="2">
        <f t="shared" si="16"/>
        <v>16029</v>
      </c>
      <c r="O159" s="7">
        <f t="shared" si="12"/>
        <v>0.44053607281963236</v>
      </c>
      <c r="P159" s="9">
        <f t="shared" si="17"/>
        <v>48.590293874011763</v>
      </c>
      <c r="Q159" s="7">
        <f t="shared" si="13"/>
        <v>0.45242672985647492</v>
      </c>
      <c r="R159" s="9">
        <f t="shared" si="14"/>
        <v>4.7424039434646511E-3</v>
      </c>
      <c r="V159">
        <v>187717</v>
      </c>
      <c r="W159">
        <v>139717</v>
      </c>
      <c r="Y159">
        <v>186454</v>
      </c>
      <c r="Z159">
        <v>159969</v>
      </c>
      <c r="AB159">
        <v>26485</v>
      </c>
      <c r="AC159">
        <v>152172</v>
      </c>
    </row>
    <row r="160" spans="1:29" x14ac:dyDescent="0.3">
      <c r="A160" t="s">
        <v>170</v>
      </c>
      <c r="B160" t="s">
        <v>513</v>
      </c>
      <c r="C160">
        <v>2022</v>
      </c>
      <c r="D160" s="2">
        <v>181026</v>
      </c>
      <c r="E160" s="2">
        <v>62603</v>
      </c>
      <c r="F160" s="2">
        <v>118423</v>
      </c>
      <c r="G160" s="2">
        <v>220397</v>
      </c>
      <c r="H160" s="2">
        <v>41399</v>
      </c>
      <c r="I160" s="2">
        <v>178998</v>
      </c>
      <c r="J160" s="2">
        <v>161290</v>
      </c>
      <c r="K160" s="2">
        <v>12449607</v>
      </c>
      <c r="L160" s="2">
        <v>7043064</v>
      </c>
      <c r="M160" s="2">
        <f t="shared" si="15"/>
        <v>36205.199999999997</v>
      </c>
      <c r="N160" s="2">
        <f t="shared" si="16"/>
        <v>23684.6</v>
      </c>
      <c r="O160" s="7">
        <f t="shared" si="12"/>
        <v>0.73181576881717991</v>
      </c>
      <c r="P160" s="9">
        <f t="shared" si="17"/>
        <v>56.572580965808804</v>
      </c>
      <c r="Q160" s="7">
        <f t="shared" si="13"/>
        <v>0.18783830995884698</v>
      </c>
      <c r="R160" s="9">
        <f t="shared" si="14"/>
        <v>9.5121878144426575E-3</v>
      </c>
      <c r="V160">
        <v>102487</v>
      </c>
      <c r="W160">
        <v>80145</v>
      </c>
      <c r="Y160">
        <v>140951</v>
      </c>
      <c r="Z160">
        <v>77181</v>
      </c>
      <c r="AB160">
        <v>63770</v>
      </c>
      <c r="AC160">
        <v>62094</v>
      </c>
    </row>
    <row r="161" spans="1:29" x14ac:dyDescent="0.3">
      <c r="A161" t="s">
        <v>171</v>
      </c>
      <c r="B161" t="s">
        <v>513</v>
      </c>
      <c r="C161">
        <v>2022</v>
      </c>
      <c r="D161" s="2">
        <v>80678</v>
      </c>
      <c r="E161" s="2">
        <v>73230</v>
      </c>
      <c r="F161" s="2">
        <v>7448</v>
      </c>
      <c r="G161" s="2">
        <v>101503</v>
      </c>
      <c r="H161" s="2">
        <v>71373</v>
      </c>
      <c r="I161" s="2">
        <v>30130</v>
      </c>
      <c r="J161" s="2">
        <v>24830</v>
      </c>
      <c r="K161" s="2">
        <v>16868738</v>
      </c>
      <c r="L161" s="2">
        <v>6185714</v>
      </c>
      <c r="M161" s="2">
        <f t="shared" si="15"/>
        <v>16135.6</v>
      </c>
      <c r="N161" s="2">
        <f t="shared" si="16"/>
        <v>1489.6</v>
      </c>
      <c r="O161" s="7">
        <f t="shared" si="12"/>
        <v>0.24462331162625736</v>
      </c>
      <c r="P161" s="9">
        <f t="shared" si="17"/>
        <v>36.669690406004293</v>
      </c>
      <c r="Q161" s="7">
        <f t="shared" si="13"/>
        <v>0.70316148291183511</v>
      </c>
      <c r="R161" s="9">
        <f t="shared" si="14"/>
        <v>4.4152680538401867E-4</v>
      </c>
      <c r="V161">
        <v>181026</v>
      </c>
      <c r="W161">
        <v>118423</v>
      </c>
      <c r="Y161">
        <v>220397</v>
      </c>
      <c r="Z161">
        <v>178998</v>
      </c>
      <c r="AB161">
        <v>41399</v>
      </c>
      <c r="AC161">
        <v>161290</v>
      </c>
    </row>
    <row r="162" spans="1:29" x14ac:dyDescent="0.3">
      <c r="A162" t="s">
        <v>172</v>
      </c>
      <c r="B162" t="s">
        <v>513</v>
      </c>
      <c r="C162">
        <v>2023</v>
      </c>
      <c r="D162" s="2">
        <v>135595</v>
      </c>
      <c r="E162" s="2">
        <v>74929</v>
      </c>
      <c r="F162" s="2">
        <v>60666</v>
      </c>
      <c r="G162" s="2">
        <v>154172</v>
      </c>
      <c r="H162" s="2">
        <v>49911</v>
      </c>
      <c r="I162" s="2">
        <v>104261</v>
      </c>
      <c r="J162" s="2">
        <v>92758</v>
      </c>
      <c r="K162" s="2">
        <v>5978039</v>
      </c>
      <c r="L162" s="2">
        <v>12288493</v>
      </c>
      <c r="M162" s="2">
        <f t="shared" si="15"/>
        <v>27119</v>
      </c>
      <c r="N162" s="2">
        <f t="shared" si="16"/>
        <v>12133.2</v>
      </c>
      <c r="O162" s="7">
        <f t="shared" si="12"/>
        <v>0.60165269958228473</v>
      </c>
      <c r="P162" s="9">
        <f t="shared" si="17"/>
        <v>205.56060273276904</v>
      </c>
      <c r="Q162" s="7">
        <f t="shared" si="13"/>
        <v>0.32373582751731833</v>
      </c>
      <c r="R162" s="9">
        <f t="shared" si="14"/>
        <v>1.0148143898024084E-2</v>
      </c>
      <c r="V162">
        <v>80678</v>
      </c>
      <c r="W162">
        <v>7448</v>
      </c>
      <c r="Y162">
        <v>101503</v>
      </c>
      <c r="Z162">
        <v>30130</v>
      </c>
      <c r="AB162">
        <v>71373</v>
      </c>
      <c r="AC162">
        <v>24830</v>
      </c>
    </row>
    <row r="163" spans="1:29" x14ac:dyDescent="0.3">
      <c r="A163" t="s">
        <v>173</v>
      </c>
      <c r="B163" t="s">
        <v>513</v>
      </c>
      <c r="C163">
        <v>2023</v>
      </c>
      <c r="D163" s="2">
        <v>134458</v>
      </c>
      <c r="E163" s="2">
        <v>22175</v>
      </c>
      <c r="F163" s="2">
        <v>112283</v>
      </c>
      <c r="G163" s="2">
        <v>187054</v>
      </c>
      <c r="H163" s="2">
        <v>81358</v>
      </c>
      <c r="I163" s="2">
        <v>105696</v>
      </c>
      <c r="J163" s="2">
        <v>86369</v>
      </c>
      <c r="K163" s="2">
        <v>9241361</v>
      </c>
      <c r="L163" s="2">
        <v>8511174</v>
      </c>
      <c r="M163" s="2">
        <f t="shared" si="15"/>
        <v>26891.599999999999</v>
      </c>
      <c r="N163" s="2">
        <f t="shared" si="16"/>
        <v>22456.6</v>
      </c>
      <c r="O163" s="7">
        <f t="shared" si="12"/>
        <v>0.46173297550439979</v>
      </c>
      <c r="P163" s="9">
        <f t="shared" si="17"/>
        <v>92.098707106020427</v>
      </c>
      <c r="Q163" s="7">
        <f t="shared" si="13"/>
        <v>0.43494391993755815</v>
      </c>
      <c r="R163" s="9">
        <f t="shared" si="14"/>
        <v>1.2150050192823329E-2</v>
      </c>
      <c r="V163">
        <v>135595</v>
      </c>
      <c r="W163">
        <v>60666</v>
      </c>
      <c r="Y163">
        <v>154172</v>
      </c>
      <c r="Z163">
        <v>104261</v>
      </c>
      <c r="AB163">
        <v>49911</v>
      </c>
      <c r="AC163">
        <v>92758</v>
      </c>
    </row>
    <row r="164" spans="1:29" x14ac:dyDescent="0.3">
      <c r="A164" t="s">
        <v>174</v>
      </c>
      <c r="B164" t="s">
        <v>513</v>
      </c>
      <c r="C164">
        <v>2023</v>
      </c>
      <c r="D164" s="2">
        <v>54425</v>
      </c>
      <c r="E164" s="2">
        <v>26032</v>
      </c>
      <c r="F164" s="2">
        <v>28393</v>
      </c>
      <c r="G164" s="2">
        <v>50591</v>
      </c>
      <c r="H164" s="2">
        <v>75500</v>
      </c>
      <c r="I164" s="2">
        <v>-24909</v>
      </c>
      <c r="J164" s="2">
        <v>-30361</v>
      </c>
      <c r="K164" s="2">
        <v>11202258</v>
      </c>
      <c r="L164" s="2">
        <v>7339235</v>
      </c>
      <c r="M164" s="2">
        <f t="shared" si="15"/>
        <v>10885</v>
      </c>
      <c r="N164" s="2">
        <f t="shared" si="16"/>
        <v>5678.6</v>
      </c>
      <c r="O164" s="7">
        <f t="shared" si="12"/>
        <v>-0.6001265047142772</v>
      </c>
      <c r="P164" s="9">
        <f t="shared" si="17"/>
        <v>65.515675500421438</v>
      </c>
      <c r="Q164" s="7">
        <f t="shared" si="13"/>
        <v>1.4923603012393509</v>
      </c>
      <c r="R164" s="9">
        <f t="shared" si="14"/>
        <v>2.5345782966255553E-3</v>
      </c>
      <c r="V164">
        <v>134458</v>
      </c>
      <c r="W164">
        <v>112283</v>
      </c>
      <c r="Y164">
        <v>187054</v>
      </c>
      <c r="Z164">
        <v>105696</v>
      </c>
      <c r="AB164">
        <v>81358</v>
      </c>
      <c r="AC164">
        <v>86369</v>
      </c>
    </row>
    <row r="165" spans="1:29" x14ac:dyDescent="0.3">
      <c r="A165" t="s">
        <v>175</v>
      </c>
      <c r="B165" t="s">
        <v>513</v>
      </c>
      <c r="C165">
        <v>2023</v>
      </c>
      <c r="D165" s="2">
        <v>168865</v>
      </c>
      <c r="E165" s="2">
        <v>18705</v>
      </c>
      <c r="F165" s="2">
        <v>150160</v>
      </c>
      <c r="G165" s="2">
        <v>213040</v>
      </c>
      <c r="H165" s="2">
        <v>38236</v>
      </c>
      <c r="I165" s="2">
        <v>174804</v>
      </c>
      <c r="J165" s="2">
        <v>167963</v>
      </c>
      <c r="K165" s="2">
        <v>8816446</v>
      </c>
      <c r="L165" s="2">
        <v>6376513</v>
      </c>
      <c r="M165" s="2">
        <f t="shared" si="15"/>
        <v>33773</v>
      </c>
      <c r="N165" s="2">
        <f t="shared" si="16"/>
        <v>30032</v>
      </c>
      <c r="O165" s="7">
        <f t="shared" si="12"/>
        <v>0.78841062711227938</v>
      </c>
      <c r="P165" s="9">
        <f t="shared" si="17"/>
        <v>72.325209046820007</v>
      </c>
      <c r="Q165" s="7">
        <f t="shared" si="13"/>
        <v>0.17947803229440482</v>
      </c>
      <c r="R165" s="9">
        <f t="shared" si="14"/>
        <v>1.703180624029229E-2</v>
      </c>
      <c r="V165">
        <v>54425</v>
      </c>
      <c r="W165">
        <v>28393</v>
      </c>
      <c r="Y165">
        <v>50591</v>
      </c>
      <c r="Z165">
        <v>-24909</v>
      </c>
      <c r="AB165">
        <v>75500</v>
      </c>
      <c r="AC165">
        <v>-30361</v>
      </c>
    </row>
    <row r="166" spans="1:29" x14ac:dyDescent="0.3">
      <c r="A166" t="s">
        <v>176</v>
      </c>
      <c r="B166" t="s">
        <v>513</v>
      </c>
      <c r="C166">
        <v>2023</v>
      </c>
      <c r="D166" s="2">
        <v>144914</v>
      </c>
      <c r="E166" s="2">
        <v>24596</v>
      </c>
      <c r="F166" s="2">
        <v>120318</v>
      </c>
      <c r="G166" s="2">
        <v>173890</v>
      </c>
      <c r="H166" s="2">
        <v>93757</v>
      </c>
      <c r="I166" s="2">
        <v>80133</v>
      </c>
      <c r="J166" s="2">
        <v>76854</v>
      </c>
      <c r="K166" s="2">
        <v>10437149</v>
      </c>
      <c r="L166" s="2">
        <v>13878177</v>
      </c>
      <c r="M166" s="2">
        <f t="shared" si="15"/>
        <v>28982.799999999999</v>
      </c>
      <c r="N166" s="2">
        <f t="shared" si="16"/>
        <v>24063.599999999999</v>
      </c>
      <c r="O166" s="7">
        <f t="shared" si="12"/>
        <v>0.44196906090056931</v>
      </c>
      <c r="P166" s="9">
        <f t="shared" si="17"/>
        <v>132.96904164154407</v>
      </c>
      <c r="Q166" s="7">
        <f t="shared" si="13"/>
        <v>0.53917419058025184</v>
      </c>
      <c r="R166" s="9">
        <f t="shared" si="14"/>
        <v>1.1527860721352163E-2</v>
      </c>
      <c r="V166">
        <v>168865</v>
      </c>
      <c r="W166">
        <v>150160</v>
      </c>
      <c r="Y166">
        <v>213040</v>
      </c>
      <c r="Z166">
        <v>174804</v>
      </c>
      <c r="AB166">
        <v>38236</v>
      </c>
      <c r="AC166">
        <v>167963</v>
      </c>
    </row>
    <row r="167" spans="1:29" x14ac:dyDescent="0.3">
      <c r="A167" t="s">
        <v>177</v>
      </c>
      <c r="B167" t="s">
        <v>513</v>
      </c>
      <c r="C167">
        <v>2023</v>
      </c>
      <c r="D167" s="2">
        <v>188155</v>
      </c>
      <c r="E167" s="2">
        <v>27771</v>
      </c>
      <c r="F167" s="2">
        <v>160384</v>
      </c>
      <c r="G167" s="2">
        <v>210359</v>
      </c>
      <c r="H167" s="2">
        <v>60648</v>
      </c>
      <c r="I167" s="2">
        <v>149711</v>
      </c>
      <c r="J167" s="2">
        <v>132194</v>
      </c>
      <c r="K167" s="2">
        <v>18126263</v>
      </c>
      <c r="L167" s="2">
        <v>7261946</v>
      </c>
      <c r="M167" s="2">
        <f t="shared" si="15"/>
        <v>37631</v>
      </c>
      <c r="N167" s="2">
        <f t="shared" si="16"/>
        <v>32076.799999999999</v>
      </c>
      <c r="O167" s="7">
        <f t="shared" si="12"/>
        <v>0.62842093754010997</v>
      </c>
      <c r="P167" s="9">
        <f t="shared" si="17"/>
        <v>40.06311725698783</v>
      </c>
      <c r="Q167" s="7">
        <f t="shared" si="13"/>
        <v>0.28830713209323111</v>
      </c>
      <c r="R167" s="9">
        <f t="shared" si="14"/>
        <v>8.848155849884777E-3</v>
      </c>
      <c r="V167">
        <v>144914</v>
      </c>
      <c r="W167">
        <v>120318</v>
      </c>
      <c r="Y167">
        <v>173890</v>
      </c>
      <c r="Z167">
        <v>80133</v>
      </c>
      <c r="AB167">
        <v>93757</v>
      </c>
      <c r="AC167">
        <v>76854</v>
      </c>
    </row>
    <row r="168" spans="1:29" x14ac:dyDescent="0.3">
      <c r="A168" t="s">
        <v>178</v>
      </c>
      <c r="B168" t="s">
        <v>513</v>
      </c>
      <c r="C168">
        <v>2023</v>
      </c>
      <c r="D168" s="2">
        <v>140093</v>
      </c>
      <c r="E168" s="2">
        <v>47599</v>
      </c>
      <c r="F168" s="2">
        <v>92494</v>
      </c>
      <c r="G168" s="2">
        <v>164414</v>
      </c>
      <c r="H168" s="2">
        <v>43529</v>
      </c>
      <c r="I168" s="2">
        <v>120885</v>
      </c>
      <c r="J168" s="2">
        <v>115699</v>
      </c>
      <c r="K168" s="2">
        <v>8173584</v>
      </c>
      <c r="L168" s="2">
        <v>14045415</v>
      </c>
      <c r="M168" s="2">
        <f t="shared" si="15"/>
        <v>28018.6</v>
      </c>
      <c r="N168" s="2">
        <f t="shared" si="16"/>
        <v>18498.8</v>
      </c>
      <c r="O168" s="7">
        <f t="shared" si="12"/>
        <v>0.70370528057221404</v>
      </c>
      <c r="P168" s="9">
        <f t="shared" si="17"/>
        <v>171.83912222594154</v>
      </c>
      <c r="Q168" s="7">
        <f t="shared" si="13"/>
        <v>0.26475239334849832</v>
      </c>
      <c r="R168" s="9">
        <f t="shared" si="14"/>
        <v>1.1316210856828534E-2</v>
      </c>
      <c r="V168">
        <v>188155</v>
      </c>
      <c r="W168">
        <v>160384</v>
      </c>
      <c r="Y168">
        <v>210359</v>
      </c>
      <c r="Z168">
        <v>149711</v>
      </c>
      <c r="AB168">
        <v>60648</v>
      </c>
      <c r="AC168">
        <v>132194</v>
      </c>
    </row>
    <row r="169" spans="1:29" x14ac:dyDescent="0.3">
      <c r="A169" t="s">
        <v>179</v>
      </c>
      <c r="B169" t="s">
        <v>513</v>
      </c>
      <c r="C169">
        <v>2023</v>
      </c>
      <c r="D169" s="2">
        <v>149608</v>
      </c>
      <c r="E169" s="2">
        <v>70774</v>
      </c>
      <c r="F169" s="2">
        <v>78834</v>
      </c>
      <c r="G169" s="2">
        <v>122586</v>
      </c>
      <c r="H169" s="2">
        <v>70029</v>
      </c>
      <c r="I169" s="2">
        <v>52557</v>
      </c>
      <c r="J169" s="2">
        <v>32872</v>
      </c>
      <c r="K169" s="2">
        <v>17451050</v>
      </c>
      <c r="L169" s="2">
        <v>3116739</v>
      </c>
      <c r="M169" s="2">
        <f t="shared" si="15"/>
        <v>29921.599999999999</v>
      </c>
      <c r="N169" s="2">
        <f t="shared" si="16"/>
        <v>15766.8</v>
      </c>
      <c r="O169" s="7">
        <f t="shared" si="12"/>
        <v>0.26815460166740085</v>
      </c>
      <c r="P169" s="9">
        <f t="shared" si="17"/>
        <v>17.85989381727747</v>
      </c>
      <c r="Q169" s="7">
        <f t="shared" si="13"/>
        <v>0.57126425529832114</v>
      </c>
      <c r="R169" s="9">
        <f t="shared" si="14"/>
        <v>4.5174359135983222E-3</v>
      </c>
      <c r="V169">
        <v>140093</v>
      </c>
      <c r="W169">
        <v>92494</v>
      </c>
      <c r="Y169">
        <v>164414</v>
      </c>
      <c r="Z169">
        <v>120885</v>
      </c>
      <c r="AB169">
        <v>43529</v>
      </c>
      <c r="AC169">
        <v>115699</v>
      </c>
    </row>
    <row r="170" spans="1:29" x14ac:dyDescent="0.3">
      <c r="A170" t="s">
        <v>180</v>
      </c>
      <c r="B170" t="s">
        <v>513</v>
      </c>
      <c r="C170">
        <v>2023</v>
      </c>
      <c r="D170" s="2">
        <v>105961</v>
      </c>
      <c r="E170" s="2">
        <v>66133</v>
      </c>
      <c r="F170" s="2">
        <v>39828</v>
      </c>
      <c r="G170" s="2">
        <v>157253</v>
      </c>
      <c r="H170" s="2">
        <v>76268</v>
      </c>
      <c r="I170" s="2">
        <v>80985</v>
      </c>
      <c r="J170" s="2">
        <v>73510</v>
      </c>
      <c r="K170" s="2">
        <v>13577064</v>
      </c>
      <c r="L170" s="2">
        <v>5653093</v>
      </c>
      <c r="M170" s="2">
        <f t="shared" si="15"/>
        <v>21192.2</v>
      </c>
      <c r="N170" s="2">
        <f t="shared" si="16"/>
        <v>7965.6</v>
      </c>
      <c r="O170" s="7">
        <f t="shared" si="12"/>
        <v>0.46746325984241954</v>
      </c>
      <c r="P170" s="9">
        <f t="shared" si="17"/>
        <v>41.637080004925956</v>
      </c>
      <c r="Q170" s="7">
        <f t="shared" si="13"/>
        <v>0.48500187595785138</v>
      </c>
      <c r="R170" s="9">
        <f t="shared" si="14"/>
        <v>2.9334766338289337E-3</v>
      </c>
      <c r="V170">
        <v>149608</v>
      </c>
      <c r="W170">
        <v>78834</v>
      </c>
      <c r="Y170">
        <v>122586</v>
      </c>
      <c r="Z170">
        <v>52557</v>
      </c>
      <c r="AB170">
        <v>70029</v>
      </c>
      <c r="AC170">
        <v>32872</v>
      </c>
    </row>
    <row r="171" spans="1:29" x14ac:dyDescent="0.3">
      <c r="A171" t="s">
        <v>181</v>
      </c>
      <c r="B171" t="s">
        <v>513</v>
      </c>
      <c r="C171">
        <v>2023</v>
      </c>
      <c r="D171" s="2">
        <v>171829</v>
      </c>
      <c r="E171" s="2">
        <v>11622</v>
      </c>
      <c r="F171" s="2">
        <v>160207</v>
      </c>
      <c r="G171" s="2">
        <v>228963</v>
      </c>
      <c r="H171" s="2">
        <v>55809</v>
      </c>
      <c r="I171" s="2">
        <v>173154</v>
      </c>
      <c r="J171" s="2">
        <v>154429</v>
      </c>
      <c r="K171" s="2">
        <v>5716756</v>
      </c>
      <c r="L171" s="2">
        <v>11439834</v>
      </c>
      <c r="M171" s="2">
        <f t="shared" si="15"/>
        <v>34365.800000000003</v>
      </c>
      <c r="N171" s="2">
        <f t="shared" si="16"/>
        <v>32041.4</v>
      </c>
      <c r="O171" s="7">
        <f t="shared" si="12"/>
        <v>0.67447142114664815</v>
      </c>
      <c r="P171" s="9">
        <f t="shared" si="17"/>
        <v>200.11058719315642</v>
      </c>
      <c r="Q171" s="7">
        <f t="shared" si="13"/>
        <v>0.24374680625253861</v>
      </c>
      <c r="R171" s="9">
        <f t="shared" si="14"/>
        <v>2.8024110177170408E-2</v>
      </c>
      <c r="V171">
        <v>105961</v>
      </c>
      <c r="W171">
        <v>39828</v>
      </c>
      <c r="Y171">
        <v>157253</v>
      </c>
      <c r="Z171">
        <v>80985</v>
      </c>
      <c r="AB171">
        <v>76268</v>
      </c>
      <c r="AC171">
        <v>73510</v>
      </c>
    </row>
    <row r="172" spans="1:29" x14ac:dyDescent="0.3">
      <c r="A172" t="s">
        <v>182</v>
      </c>
      <c r="B172" t="s">
        <v>513</v>
      </c>
      <c r="C172">
        <v>2023</v>
      </c>
      <c r="D172" s="2">
        <v>131182</v>
      </c>
      <c r="E172" s="2">
        <v>39402</v>
      </c>
      <c r="F172" s="2">
        <v>91780</v>
      </c>
      <c r="G172" s="2">
        <v>116043</v>
      </c>
      <c r="H172" s="2">
        <v>61828</v>
      </c>
      <c r="I172" s="2">
        <v>54215</v>
      </c>
      <c r="J172" s="2">
        <v>37059</v>
      </c>
      <c r="K172" s="2">
        <v>17807049</v>
      </c>
      <c r="L172" s="2">
        <v>4500844</v>
      </c>
      <c r="M172" s="2">
        <f t="shared" si="15"/>
        <v>26236.400000000001</v>
      </c>
      <c r="N172" s="2">
        <f t="shared" si="16"/>
        <v>18356</v>
      </c>
      <c r="O172" s="7">
        <f t="shared" si="12"/>
        <v>0.31935575605594479</v>
      </c>
      <c r="P172" s="9">
        <f t="shared" si="17"/>
        <v>25.275631015560187</v>
      </c>
      <c r="Q172" s="7">
        <f t="shared" si="13"/>
        <v>0.53280249562662119</v>
      </c>
      <c r="R172" s="9">
        <f t="shared" si="14"/>
        <v>5.1541386784525614E-3</v>
      </c>
      <c r="V172">
        <v>171829</v>
      </c>
      <c r="W172">
        <v>160207</v>
      </c>
      <c r="Y172">
        <v>228963</v>
      </c>
      <c r="Z172">
        <v>173154</v>
      </c>
      <c r="AB172">
        <v>55809</v>
      </c>
      <c r="AC172">
        <v>154429</v>
      </c>
    </row>
    <row r="173" spans="1:29" x14ac:dyDescent="0.3">
      <c r="A173" t="s">
        <v>183</v>
      </c>
      <c r="B173" t="s">
        <v>513</v>
      </c>
      <c r="C173">
        <v>2023</v>
      </c>
      <c r="D173" s="2">
        <v>192736</v>
      </c>
      <c r="E173" s="2">
        <v>45737</v>
      </c>
      <c r="F173" s="2">
        <v>146999</v>
      </c>
      <c r="G173" s="2">
        <v>256562</v>
      </c>
      <c r="H173" s="2">
        <v>44373</v>
      </c>
      <c r="I173" s="2">
        <v>212189</v>
      </c>
      <c r="J173" s="2">
        <v>206560</v>
      </c>
      <c r="K173" s="2">
        <v>5390719</v>
      </c>
      <c r="L173" s="2">
        <v>12916545</v>
      </c>
      <c r="M173" s="2">
        <f t="shared" si="15"/>
        <v>38547.199999999997</v>
      </c>
      <c r="N173" s="2">
        <f t="shared" si="16"/>
        <v>29399.8</v>
      </c>
      <c r="O173" s="7">
        <f t="shared" si="12"/>
        <v>0.80510753735939067</v>
      </c>
      <c r="P173" s="9">
        <f t="shared" si="17"/>
        <v>239.6070913731545</v>
      </c>
      <c r="Q173" s="7">
        <f t="shared" si="13"/>
        <v>0.17295234680116306</v>
      </c>
      <c r="R173" s="9">
        <f t="shared" si="14"/>
        <v>2.7268904203687858E-2</v>
      </c>
      <c r="V173">
        <v>131182</v>
      </c>
      <c r="W173">
        <v>91780</v>
      </c>
      <c r="Y173">
        <v>116043</v>
      </c>
      <c r="Z173">
        <v>54215</v>
      </c>
      <c r="AB173">
        <v>61828</v>
      </c>
      <c r="AC173">
        <v>37059</v>
      </c>
    </row>
    <row r="174" spans="1:29" x14ac:dyDescent="0.3">
      <c r="A174" t="s">
        <v>184</v>
      </c>
      <c r="B174" t="s">
        <v>513</v>
      </c>
      <c r="C174">
        <v>2023</v>
      </c>
      <c r="D174" s="2">
        <v>151371</v>
      </c>
      <c r="E174" s="2">
        <v>48709</v>
      </c>
      <c r="F174" s="2">
        <v>102662</v>
      </c>
      <c r="G174" s="2">
        <v>183782</v>
      </c>
      <c r="H174" s="2">
        <v>34250</v>
      </c>
      <c r="I174" s="2">
        <v>149532</v>
      </c>
      <c r="J174" s="2">
        <v>135977</v>
      </c>
      <c r="K174" s="2">
        <v>11247794</v>
      </c>
      <c r="L174" s="2">
        <v>10917596</v>
      </c>
      <c r="M174" s="2">
        <f t="shared" si="15"/>
        <v>30274.2</v>
      </c>
      <c r="N174" s="2">
        <f t="shared" si="16"/>
        <v>20532.400000000001</v>
      </c>
      <c r="O174" s="7">
        <f t="shared" si="12"/>
        <v>0.73988203414915499</v>
      </c>
      <c r="P174" s="9">
        <f t="shared" si="17"/>
        <v>97.064331014597172</v>
      </c>
      <c r="Q174" s="7">
        <f t="shared" si="13"/>
        <v>0.1863621029262931</v>
      </c>
      <c r="R174" s="9">
        <f t="shared" si="14"/>
        <v>9.12730087339793E-3</v>
      </c>
      <c r="V174">
        <v>192736</v>
      </c>
      <c r="W174">
        <v>146999</v>
      </c>
      <c r="Y174">
        <v>256562</v>
      </c>
      <c r="Z174">
        <v>212189</v>
      </c>
      <c r="AB174">
        <v>44373</v>
      </c>
      <c r="AC174">
        <v>206560</v>
      </c>
    </row>
    <row r="175" spans="1:29" x14ac:dyDescent="0.3">
      <c r="A175" t="s">
        <v>185</v>
      </c>
      <c r="B175" t="s">
        <v>513</v>
      </c>
      <c r="C175">
        <v>2023</v>
      </c>
      <c r="D175" s="2">
        <v>107492</v>
      </c>
      <c r="E175" s="2">
        <v>63002</v>
      </c>
      <c r="F175" s="2">
        <v>44490</v>
      </c>
      <c r="G175" s="2">
        <v>154089</v>
      </c>
      <c r="H175" s="2">
        <v>87355</v>
      </c>
      <c r="I175" s="2">
        <v>66734</v>
      </c>
      <c r="J175" s="2">
        <v>53688</v>
      </c>
      <c r="K175" s="2">
        <v>9422375</v>
      </c>
      <c r="L175" s="2">
        <v>3378165</v>
      </c>
      <c r="M175" s="2">
        <f t="shared" si="15"/>
        <v>21498.400000000001</v>
      </c>
      <c r="N175" s="2">
        <f t="shared" si="16"/>
        <v>8898</v>
      </c>
      <c r="O175" s="7">
        <f t="shared" si="12"/>
        <v>0.34842201584798393</v>
      </c>
      <c r="P175" s="9">
        <f t="shared" si="17"/>
        <v>35.852584937449421</v>
      </c>
      <c r="Q175" s="7">
        <f t="shared" si="13"/>
        <v>0.56691262841604528</v>
      </c>
      <c r="R175" s="9">
        <f t="shared" si="14"/>
        <v>4.721739476512026E-3</v>
      </c>
      <c r="V175">
        <v>151371</v>
      </c>
      <c r="W175">
        <v>102662</v>
      </c>
      <c r="Y175">
        <v>183782</v>
      </c>
      <c r="Z175">
        <v>149532</v>
      </c>
      <c r="AB175">
        <v>34250</v>
      </c>
      <c r="AC175">
        <v>135977</v>
      </c>
    </row>
    <row r="176" spans="1:29" x14ac:dyDescent="0.3">
      <c r="A176" t="s">
        <v>186</v>
      </c>
      <c r="B176" t="s">
        <v>513</v>
      </c>
      <c r="C176">
        <v>2023</v>
      </c>
      <c r="D176" s="2">
        <v>54853</v>
      </c>
      <c r="E176" s="2">
        <v>31792</v>
      </c>
      <c r="F176" s="2">
        <v>23061</v>
      </c>
      <c r="G176" s="2">
        <v>102190</v>
      </c>
      <c r="H176" s="2">
        <v>89478</v>
      </c>
      <c r="I176" s="2">
        <v>12712</v>
      </c>
      <c r="J176" s="2">
        <v>-4795</v>
      </c>
      <c r="K176" s="2">
        <v>12978450</v>
      </c>
      <c r="L176" s="2">
        <v>8703394</v>
      </c>
      <c r="M176" s="2">
        <f t="shared" si="15"/>
        <v>10970.6</v>
      </c>
      <c r="N176" s="2">
        <f t="shared" si="16"/>
        <v>4612.2</v>
      </c>
      <c r="O176" s="7">
        <f t="shared" si="12"/>
        <v>-4.6922399452001176E-2</v>
      </c>
      <c r="P176" s="9">
        <f t="shared" si="17"/>
        <v>67.060350041800064</v>
      </c>
      <c r="Q176" s="7">
        <f t="shared" si="13"/>
        <v>0.87560426656228596</v>
      </c>
      <c r="R176" s="9">
        <f t="shared" si="14"/>
        <v>1.7768685782971001E-3</v>
      </c>
      <c r="V176">
        <v>107492</v>
      </c>
      <c r="W176">
        <v>44490</v>
      </c>
      <c r="Y176">
        <v>154089</v>
      </c>
      <c r="Z176">
        <v>66734</v>
      </c>
      <c r="AB176">
        <v>87355</v>
      </c>
      <c r="AC176">
        <v>53688</v>
      </c>
    </row>
    <row r="177" spans="1:29" x14ac:dyDescent="0.3">
      <c r="A177" t="s">
        <v>187</v>
      </c>
      <c r="B177" t="s">
        <v>513</v>
      </c>
      <c r="C177">
        <v>2023</v>
      </c>
      <c r="D177" s="2">
        <v>196922</v>
      </c>
      <c r="E177" s="2">
        <v>22112</v>
      </c>
      <c r="F177" s="2">
        <v>174810</v>
      </c>
      <c r="G177" s="2">
        <v>218868</v>
      </c>
      <c r="H177" s="2">
        <v>60420</v>
      </c>
      <c r="I177" s="2">
        <v>158448</v>
      </c>
      <c r="J177" s="2">
        <v>150326</v>
      </c>
      <c r="K177" s="2">
        <v>14503201</v>
      </c>
      <c r="L177" s="2">
        <v>12615560</v>
      </c>
      <c r="M177" s="2">
        <f t="shared" si="15"/>
        <v>39384.400000000001</v>
      </c>
      <c r="N177" s="2">
        <f t="shared" si="16"/>
        <v>34962</v>
      </c>
      <c r="O177" s="7">
        <f t="shared" si="12"/>
        <v>0.68683407350549186</v>
      </c>
      <c r="P177" s="9">
        <f t="shared" si="17"/>
        <v>86.984659455522959</v>
      </c>
      <c r="Q177" s="7">
        <f t="shared" si="13"/>
        <v>0.27605680135972366</v>
      </c>
      <c r="R177" s="9">
        <f t="shared" si="14"/>
        <v>1.2053201220889098E-2</v>
      </c>
      <c r="V177">
        <v>54853</v>
      </c>
      <c r="W177">
        <v>23061</v>
      </c>
      <c r="Y177">
        <v>102190</v>
      </c>
      <c r="Z177">
        <v>12712</v>
      </c>
      <c r="AB177">
        <v>89478</v>
      </c>
      <c r="AC177">
        <v>-4795</v>
      </c>
    </row>
    <row r="178" spans="1:29" x14ac:dyDescent="0.3">
      <c r="A178" t="s">
        <v>188</v>
      </c>
      <c r="B178" t="s">
        <v>513</v>
      </c>
      <c r="C178">
        <v>2023</v>
      </c>
      <c r="D178" s="2">
        <v>182596</v>
      </c>
      <c r="E178" s="2">
        <v>25048</v>
      </c>
      <c r="F178" s="2">
        <v>157548</v>
      </c>
      <c r="G178" s="2">
        <v>212659</v>
      </c>
      <c r="H178" s="2">
        <v>52904</v>
      </c>
      <c r="I178" s="2">
        <v>159755</v>
      </c>
      <c r="J178" s="2">
        <v>156515</v>
      </c>
      <c r="K178" s="2">
        <v>12733308</v>
      </c>
      <c r="L178" s="2">
        <v>6875754</v>
      </c>
      <c r="M178" s="2">
        <f t="shared" si="15"/>
        <v>36519.199999999997</v>
      </c>
      <c r="N178" s="2">
        <f t="shared" si="16"/>
        <v>31509.599999999999</v>
      </c>
      <c r="O178" s="7">
        <f t="shared" si="12"/>
        <v>0.73599048241551024</v>
      </c>
      <c r="P178" s="9">
        <f t="shared" si="17"/>
        <v>53.998175493752285</v>
      </c>
      <c r="Q178" s="7">
        <f t="shared" si="13"/>
        <v>0.24877385861872764</v>
      </c>
      <c r="R178" s="9">
        <f t="shared" si="14"/>
        <v>1.2372904197401021E-2</v>
      </c>
      <c r="V178">
        <v>196922</v>
      </c>
      <c r="W178">
        <v>174810</v>
      </c>
      <c r="Y178">
        <v>218868</v>
      </c>
      <c r="Z178">
        <v>158448</v>
      </c>
      <c r="AB178">
        <v>60420</v>
      </c>
      <c r="AC178">
        <v>150326</v>
      </c>
    </row>
    <row r="179" spans="1:29" x14ac:dyDescent="0.3">
      <c r="A179" t="s">
        <v>189</v>
      </c>
      <c r="B179" t="s">
        <v>513</v>
      </c>
      <c r="C179">
        <v>2023</v>
      </c>
      <c r="D179" s="2">
        <v>133559</v>
      </c>
      <c r="E179" s="2">
        <v>65337</v>
      </c>
      <c r="F179" s="2">
        <v>68222</v>
      </c>
      <c r="G179" s="2">
        <v>101572</v>
      </c>
      <c r="H179" s="2">
        <v>39354</v>
      </c>
      <c r="I179" s="2">
        <v>62218</v>
      </c>
      <c r="J179" s="2">
        <v>47800</v>
      </c>
      <c r="K179" s="2">
        <v>15912996</v>
      </c>
      <c r="L179" s="2">
        <v>13047595</v>
      </c>
      <c r="M179" s="2">
        <f t="shared" si="15"/>
        <v>26711.8</v>
      </c>
      <c r="N179" s="2">
        <f t="shared" si="16"/>
        <v>13644.4</v>
      </c>
      <c r="O179" s="7">
        <f t="shared" si="12"/>
        <v>0.47060213444650101</v>
      </c>
      <c r="P179" s="9">
        <f t="shared" si="17"/>
        <v>81.993327969164326</v>
      </c>
      <c r="Q179" s="7">
        <f t="shared" si="13"/>
        <v>0.38744929705036824</v>
      </c>
      <c r="R179" s="9">
        <f t="shared" si="14"/>
        <v>4.287187654669177E-3</v>
      </c>
      <c r="V179">
        <v>182596</v>
      </c>
      <c r="W179">
        <v>157548</v>
      </c>
      <c r="Y179">
        <v>212659</v>
      </c>
      <c r="Z179">
        <v>159755</v>
      </c>
      <c r="AB179">
        <v>52904</v>
      </c>
      <c r="AC179">
        <v>156515</v>
      </c>
    </row>
    <row r="180" spans="1:29" x14ac:dyDescent="0.3">
      <c r="A180" t="s">
        <v>190</v>
      </c>
      <c r="B180" t="s">
        <v>513</v>
      </c>
      <c r="C180">
        <v>2023</v>
      </c>
      <c r="D180" s="2">
        <v>70581</v>
      </c>
      <c r="E180" s="2">
        <v>33051</v>
      </c>
      <c r="F180" s="2">
        <v>37530</v>
      </c>
      <c r="G180" s="2">
        <v>109004</v>
      </c>
      <c r="H180" s="2">
        <v>84626</v>
      </c>
      <c r="I180" s="2">
        <v>24378</v>
      </c>
      <c r="J180" s="2">
        <v>15418</v>
      </c>
      <c r="K180" s="2">
        <v>5428988</v>
      </c>
      <c r="L180" s="2">
        <v>7084752</v>
      </c>
      <c r="M180" s="2">
        <f t="shared" si="15"/>
        <v>14116.2</v>
      </c>
      <c r="N180" s="2">
        <f t="shared" si="16"/>
        <v>7506</v>
      </c>
      <c r="O180" s="7">
        <f t="shared" si="12"/>
        <v>0.14144435066603062</v>
      </c>
      <c r="P180" s="9">
        <f t="shared" si="17"/>
        <v>130.49857542510685</v>
      </c>
      <c r="Q180" s="7">
        <f t="shared" si="13"/>
        <v>0.77635683094198382</v>
      </c>
      <c r="R180" s="9">
        <f t="shared" si="14"/>
        <v>6.9128905792387087E-3</v>
      </c>
      <c r="V180">
        <v>133559</v>
      </c>
      <c r="W180">
        <v>68222</v>
      </c>
      <c r="Y180">
        <v>101572</v>
      </c>
      <c r="Z180">
        <v>62218</v>
      </c>
      <c r="AB180">
        <v>39354</v>
      </c>
      <c r="AC180">
        <v>47800</v>
      </c>
    </row>
    <row r="181" spans="1:29" x14ac:dyDescent="0.3">
      <c r="A181" t="s">
        <v>191</v>
      </c>
      <c r="B181" t="s">
        <v>513</v>
      </c>
      <c r="C181">
        <v>2023</v>
      </c>
      <c r="D181" s="2">
        <v>86408</v>
      </c>
      <c r="E181" s="2">
        <v>67134</v>
      </c>
      <c r="F181" s="2">
        <v>19274</v>
      </c>
      <c r="G181" s="2">
        <v>59765</v>
      </c>
      <c r="H181" s="2">
        <v>16341</v>
      </c>
      <c r="I181" s="2">
        <v>43424</v>
      </c>
      <c r="J181" s="2">
        <v>29569</v>
      </c>
      <c r="K181" s="2">
        <v>12954647</v>
      </c>
      <c r="L181" s="2">
        <v>5490706</v>
      </c>
      <c r="M181" s="2">
        <f t="shared" si="15"/>
        <v>17281.599999999999</v>
      </c>
      <c r="N181" s="2">
        <f t="shared" si="16"/>
        <v>3854.8</v>
      </c>
      <c r="O181" s="7">
        <f t="shared" si="12"/>
        <v>0.49475445494854847</v>
      </c>
      <c r="P181" s="9">
        <f t="shared" si="17"/>
        <v>42.384064961399567</v>
      </c>
      <c r="Q181" s="7">
        <f t="shared" si="13"/>
        <v>0.27342089851920021</v>
      </c>
      <c r="R181" s="9">
        <f t="shared" si="14"/>
        <v>1.4878058815496864E-3</v>
      </c>
      <c r="V181">
        <v>70581</v>
      </c>
      <c r="W181">
        <v>37530</v>
      </c>
      <c r="Y181">
        <v>109004</v>
      </c>
      <c r="Z181">
        <v>24378</v>
      </c>
      <c r="AB181">
        <v>84626</v>
      </c>
      <c r="AC181">
        <v>15418</v>
      </c>
    </row>
    <row r="182" spans="1:29" x14ac:dyDescent="0.3">
      <c r="A182" t="s">
        <v>192</v>
      </c>
      <c r="B182" t="s">
        <v>513</v>
      </c>
      <c r="C182">
        <v>2024</v>
      </c>
      <c r="D182" s="2">
        <v>193326</v>
      </c>
      <c r="E182" s="2">
        <v>61860</v>
      </c>
      <c r="F182" s="2">
        <v>131466</v>
      </c>
      <c r="G182" s="2">
        <v>162810</v>
      </c>
      <c r="H182" s="2">
        <v>16750</v>
      </c>
      <c r="I182" s="2">
        <v>146060</v>
      </c>
      <c r="J182" s="2">
        <v>141639</v>
      </c>
      <c r="K182" s="2">
        <v>7202575</v>
      </c>
      <c r="L182" s="2">
        <v>9611653</v>
      </c>
      <c r="M182" s="2">
        <f t="shared" si="15"/>
        <v>38665.199999999997</v>
      </c>
      <c r="N182" s="2">
        <f t="shared" si="16"/>
        <v>26293.200000000001</v>
      </c>
      <c r="O182" s="7">
        <f t="shared" si="12"/>
        <v>0.86996498986548743</v>
      </c>
      <c r="P182" s="9">
        <f t="shared" si="17"/>
        <v>133.44745455618303</v>
      </c>
      <c r="Q182" s="7">
        <f t="shared" si="13"/>
        <v>0.102880658436214</v>
      </c>
      <c r="R182" s="9">
        <f t="shared" si="14"/>
        <v>1.8252638813202222E-2</v>
      </c>
      <c r="V182">
        <v>86408</v>
      </c>
      <c r="W182">
        <v>19274</v>
      </c>
      <c r="Y182">
        <v>59765</v>
      </c>
      <c r="Z182">
        <v>43424</v>
      </c>
      <c r="AB182">
        <v>16341</v>
      </c>
      <c r="AC182">
        <v>29569</v>
      </c>
    </row>
    <row r="183" spans="1:29" x14ac:dyDescent="0.3">
      <c r="A183" t="s">
        <v>193</v>
      </c>
      <c r="B183" t="s">
        <v>513</v>
      </c>
      <c r="C183">
        <v>2024</v>
      </c>
      <c r="D183" s="2">
        <v>196968</v>
      </c>
      <c r="E183" s="2">
        <v>65761</v>
      </c>
      <c r="F183" s="2">
        <v>131207</v>
      </c>
      <c r="G183" s="2">
        <v>213759</v>
      </c>
      <c r="H183" s="2">
        <v>92454</v>
      </c>
      <c r="I183" s="2">
        <v>121305</v>
      </c>
      <c r="J183" s="2">
        <v>105456</v>
      </c>
      <c r="K183" s="2">
        <v>6564718</v>
      </c>
      <c r="L183" s="2">
        <v>8139743</v>
      </c>
      <c r="M183" s="2">
        <f t="shared" si="15"/>
        <v>39393.599999999999</v>
      </c>
      <c r="N183" s="2">
        <f t="shared" si="16"/>
        <v>26241.4</v>
      </c>
      <c r="O183" s="7">
        <f t="shared" si="12"/>
        <v>0.49334063127166577</v>
      </c>
      <c r="P183" s="9">
        <f t="shared" si="17"/>
        <v>123.99227202143337</v>
      </c>
      <c r="Q183" s="7">
        <f t="shared" si="13"/>
        <v>0.43251512217029459</v>
      </c>
      <c r="R183" s="9">
        <f t="shared" si="14"/>
        <v>1.9986692497682305E-2</v>
      </c>
      <c r="V183">
        <v>193326</v>
      </c>
      <c r="W183">
        <v>131466</v>
      </c>
      <c r="Y183">
        <v>162810</v>
      </c>
      <c r="Z183">
        <v>146060</v>
      </c>
      <c r="AB183">
        <v>16750</v>
      </c>
      <c r="AC183">
        <v>141639</v>
      </c>
    </row>
    <row r="184" spans="1:29" x14ac:dyDescent="0.3">
      <c r="A184" t="s">
        <v>194</v>
      </c>
      <c r="B184" t="s">
        <v>513</v>
      </c>
      <c r="C184">
        <v>2024</v>
      </c>
      <c r="D184" s="2">
        <v>87641</v>
      </c>
      <c r="E184" s="2">
        <v>39711</v>
      </c>
      <c r="F184" s="2">
        <v>47930</v>
      </c>
      <c r="G184" s="2">
        <v>138272</v>
      </c>
      <c r="H184" s="2">
        <v>27182</v>
      </c>
      <c r="I184" s="2">
        <v>111090</v>
      </c>
      <c r="J184" s="2">
        <v>92316</v>
      </c>
      <c r="K184" s="2">
        <v>16579149</v>
      </c>
      <c r="L184" s="2">
        <v>12052788</v>
      </c>
      <c r="M184" s="2">
        <f t="shared" si="15"/>
        <v>17528.2</v>
      </c>
      <c r="N184" s="2">
        <f t="shared" si="16"/>
        <v>9586</v>
      </c>
      <c r="O184" s="7">
        <f t="shared" si="12"/>
        <v>0.66764059245545015</v>
      </c>
      <c r="P184" s="9">
        <f t="shared" si="17"/>
        <v>72.698472038582921</v>
      </c>
      <c r="Q184" s="7">
        <f t="shared" si="13"/>
        <v>0.19658354547558435</v>
      </c>
      <c r="R184" s="9">
        <f t="shared" si="14"/>
        <v>2.8909807131837707E-3</v>
      </c>
      <c r="V184">
        <v>196968</v>
      </c>
      <c r="W184">
        <v>131207</v>
      </c>
      <c r="Y184">
        <v>213759</v>
      </c>
      <c r="Z184">
        <v>121305</v>
      </c>
      <c r="AB184">
        <v>92454</v>
      </c>
      <c r="AC184">
        <v>105456</v>
      </c>
    </row>
    <row r="185" spans="1:29" x14ac:dyDescent="0.3">
      <c r="A185" t="s">
        <v>195</v>
      </c>
      <c r="B185" t="s">
        <v>513</v>
      </c>
      <c r="C185">
        <v>2024</v>
      </c>
      <c r="D185" s="2">
        <v>74070</v>
      </c>
      <c r="E185" s="2">
        <v>79768</v>
      </c>
      <c r="F185" s="2">
        <v>-5698</v>
      </c>
      <c r="G185" s="2">
        <v>25424</v>
      </c>
      <c r="H185" s="2">
        <v>95559</v>
      </c>
      <c r="I185" s="2">
        <v>-70135</v>
      </c>
      <c r="J185" s="2">
        <v>-80142</v>
      </c>
      <c r="K185" s="2">
        <v>14913841</v>
      </c>
      <c r="L185" s="2">
        <v>13192348</v>
      </c>
      <c r="M185" s="2">
        <f t="shared" si="15"/>
        <v>14814</v>
      </c>
      <c r="N185" s="2">
        <f t="shared" si="16"/>
        <v>-1139.5999999999999</v>
      </c>
      <c r="O185" s="7">
        <f t="shared" si="12"/>
        <v>-3.1522183763373191</v>
      </c>
      <c r="P185" s="9">
        <f t="shared" si="17"/>
        <v>88.457078226863217</v>
      </c>
      <c r="Q185" s="7">
        <f t="shared" si="13"/>
        <v>3.7586139081183134</v>
      </c>
      <c r="R185" s="9">
        <f t="shared" si="14"/>
        <v>-3.820612007329299E-4</v>
      </c>
      <c r="V185">
        <v>87641</v>
      </c>
      <c r="W185">
        <v>47930</v>
      </c>
      <c r="Y185">
        <v>138272</v>
      </c>
      <c r="Z185">
        <v>111090</v>
      </c>
      <c r="AB185">
        <v>27182</v>
      </c>
      <c r="AC185">
        <v>92316</v>
      </c>
    </row>
    <row r="186" spans="1:29" x14ac:dyDescent="0.3">
      <c r="A186" t="s">
        <v>196</v>
      </c>
      <c r="B186" t="s">
        <v>513</v>
      </c>
      <c r="C186">
        <v>2024</v>
      </c>
      <c r="D186" s="2">
        <v>187809</v>
      </c>
      <c r="E186" s="2">
        <v>46062</v>
      </c>
      <c r="F186" s="2">
        <v>141747</v>
      </c>
      <c r="G186" s="2">
        <v>215984</v>
      </c>
      <c r="H186" s="2">
        <v>66571</v>
      </c>
      <c r="I186" s="2">
        <v>149413</v>
      </c>
      <c r="J186" s="2">
        <v>142916</v>
      </c>
      <c r="K186" s="2">
        <v>17469690</v>
      </c>
      <c r="L186" s="2">
        <v>6395049</v>
      </c>
      <c r="M186" s="2">
        <f t="shared" si="15"/>
        <v>37561.800000000003</v>
      </c>
      <c r="N186" s="2">
        <f t="shared" si="16"/>
        <v>28349.4</v>
      </c>
      <c r="O186" s="7">
        <f t="shared" si="12"/>
        <v>0.66169716275279655</v>
      </c>
      <c r="P186" s="9">
        <f t="shared" si="17"/>
        <v>36.606539669564832</v>
      </c>
      <c r="Q186" s="7">
        <f t="shared" si="13"/>
        <v>0.30822190532632049</v>
      </c>
      <c r="R186" s="9">
        <f t="shared" si="14"/>
        <v>8.1138818147316865E-3</v>
      </c>
      <c r="V186">
        <v>74070</v>
      </c>
      <c r="W186">
        <v>-5698</v>
      </c>
      <c r="Y186">
        <v>25424</v>
      </c>
      <c r="Z186">
        <v>-70135</v>
      </c>
      <c r="AB186">
        <v>95559</v>
      </c>
      <c r="AC186">
        <v>-80142</v>
      </c>
    </row>
    <row r="187" spans="1:29" x14ac:dyDescent="0.3">
      <c r="A187" t="s">
        <v>197</v>
      </c>
      <c r="B187" t="s">
        <v>513</v>
      </c>
      <c r="C187">
        <v>2024</v>
      </c>
      <c r="D187" s="2">
        <v>116150</v>
      </c>
      <c r="E187" s="2">
        <v>62375</v>
      </c>
      <c r="F187" s="2">
        <v>53775</v>
      </c>
      <c r="G187" s="2">
        <v>109210</v>
      </c>
      <c r="H187" s="2">
        <v>72132</v>
      </c>
      <c r="I187" s="2">
        <v>37078</v>
      </c>
      <c r="J187" s="2">
        <v>21669</v>
      </c>
      <c r="K187" s="2">
        <v>14388162</v>
      </c>
      <c r="L187" s="2">
        <v>7193060</v>
      </c>
      <c r="M187" s="2">
        <f t="shared" si="15"/>
        <v>23230</v>
      </c>
      <c r="N187" s="2">
        <f t="shared" si="16"/>
        <v>10755</v>
      </c>
      <c r="O187" s="7">
        <f t="shared" si="12"/>
        <v>0.19841589598022158</v>
      </c>
      <c r="P187" s="9">
        <f t="shared" si="17"/>
        <v>49.992903888627332</v>
      </c>
      <c r="Q187" s="7">
        <f t="shared" si="13"/>
        <v>0.66048896621188535</v>
      </c>
      <c r="R187" s="9">
        <f t="shared" si="14"/>
        <v>3.7374474932934448E-3</v>
      </c>
      <c r="V187">
        <v>187809</v>
      </c>
      <c r="W187">
        <v>141747</v>
      </c>
      <c r="Y187">
        <v>215984</v>
      </c>
      <c r="Z187">
        <v>149413</v>
      </c>
      <c r="AB187">
        <v>66571</v>
      </c>
      <c r="AC187">
        <v>142916</v>
      </c>
    </row>
    <row r="188" spans="1:29" x14ac:dyDescent="0.3">
      <c r="A188" t="s">
        <v>198</v>
      </c>
      <c r="B188" t="s">
        <v>513</v>
      </c>
      <c r="C188">
        <v>2024</v>
      </c>
      <c r="D188" s="2">
        <v>184055</v>
      </c>
      <c r="E188" s="2">
        <v>30662</v>
      </c>
      <c r="F188" s="2">
        <v>153393</v>
      </c>
      <c r="G188" s="2">
        <v>196903</v>
      </c>
      <c r="H188" s="2">
        <v>93187</v>
      </c>
      <c r="I188" s="2">
        <v>103716</v>
      </c>
      <c r="J188" s="2">
        <v>93486</v>
      </c>
      <c r="K188" s="2">
        <v>16984398</v>
      </c>
      <c r="L188" s="2">
        <v>4841648</v>
      </c>
      <c r="M188" s="2">
        <f t="shared" si="15"/>
        <v>36811</v>
      </c>
      <c r="N188" s="2">
        <f t="shared" si="16"/>
        <v>30678.6</v>
      </c>
      <c r="O188" s="7">
        <f t="shared" si="12"/>
        <v>0.47478199925851816</v>
      </c>
      <c r="P188" s="9">
        <f t="shared" si="17"/>
        <v>28.506444561650053</v>
      </c>
      <c r="Q188" s="7">
        <f t="shared" si="13"/>
        <v>0.47326348506625088</v>
      </c>
      <c r="R188" s="9">
        <f t="shared" si="14"/>
        <v>9.0314063530541385E-3</v>
      </c>
      <c r="V188">
        <v>116150</v>
      </c>
      <c r="W188">
        <v>53775</v>
      </c>
      <c r="Y188">
        <v>109210</v>
      </c>
      <c r="Z188">
        <v>37078</v>
      </c>
      <c r="AB188">
        <v>72132</v>
      </c>
      <c r="AC188">
        <v>21669</v>
      </c>
    </row>
    <row r="189" spans="1:29" x14ac:dyDescent="0.3">
      <c r="A189" t="s">
        <v>199</v>
      </c>
      <c r="B189" t="s">
        <v>513</v>
      </c>
      <c r="C189">
        <v>2024</v>
      </c>
      <c r="D189" s="2">
        <v>94547</v>
      </c>
      <c r="E189" s="2">
        <v>64620</v>
      </c>
      <c r="F189" s="2">
        <v>29927</v>
      </c>
      <c r="G189" s="2">
        <v>65244</v>
      </c>
      <c r="H189" s="2">
        <v>22564</v>
      </c>
      <c r="I189" s="2">
        <v>42680</v>
      </c>
      <c r="J189" s="2">
        <v>25160</v>
      </c>
      <c r="K189" s="2">
        <v>18594639</v>
      </c>
      <c r="L189" s="2">
        <v>7448748</v>
      </c>
      <c r="M189" s="2">
        <f t="shared" si="15"/>
        <v>18909.400000000001</v>
      </c>
      <c r="N189" s="2">
        <f t="shared" si="16"/>
        <v>5985.4</v>
      </c>
      <c r="O189" s="7">
        <f t="shared" si="12"/>
        <v>0.38562932990006743</v>
      </c>
      <c r="P189" s="9">
        <f t="shared" si="17"/>
        <v>40.058578174064039</v>
      </c>
      <c r="Q189" s="7">
        <f t="shared" si="13"/>
        <v>0.34584023051928148</v>
      </c>
      <c r="R189" s="9">
        <f t="shared" si="14"/>
        <v>1.609442377450834E-3</v>
      </c>
      <c r="V189">
        <v>184055</v>
      </c>
      <c r="W189">
        <v>153393</v>
      </c>
      <c r="Y189">
        <v>196903</v>
      </c>
      <c r="Z189">
        <v>103716</v>
      </c>
      <c r="AB189">
        <v>93187</v>
      </c>
      <c r="AC189">
        <v>93486</v>
      </c>
    </row>
    <row r="190" spans="1:29" x14ac:dyDescent="0.3">
      <c r="A190" t="s">
        <v>200</v>
      </c>
      <c r="B190" t="s">
        <v>513</v>
      </c>
      <c r="C190">
        <v>2024</v>
      </c>
      <c r="D190" s="2">
        <v>129273</v>
      </c>
      <c r="E190" s="2">
        <v>62393</v>
      </c>
      <c r="F190" s="2">
        <v>66880</v>
      </c>
      <c r="G190" s="2">
        <v>152961</v>
      </c>
      <c r="H190" s="2">
        <v>44430</v>
      </c>
      <c r="I190" s="2">
        <v>108531</v>
      </c>
      <c r="J190" s="2">
        <v>96535</v>
      </c>
      <c r="K190" s="2">
        <v>11843532</v>
      </c>
      <c r="L190" s="2">
        <v>7945169</v>
      </c>
      <c r="M190" s="2">
        <f t="shared" si="15"/>
        <v>25854.6</v>
      </c>
      <c r="N190" s="2">
        <f t="shared" si="16"/>
        <v>13376</v>
      </c>
      <c r="O190" s="7">
        <f t="shared" si="12"/>
        <v>0.63110858323363472</v>
      </c>
      <c r="P190" s="9">
        <f t="shared" si="17"/>
        <v>67.084455886976954</v>
      </c>
      <c r="Q190" s="7">
        <f t="shared" si="13"/>
        <v>0.29046619726596978</v>
      </c>
      <c r="R190" s="9">
        <f t="shared" si="14"/>
        <v>5.6469640982098925E-3</v>
      </c>
      <c r="V190">
        <v>94547</v>
      </c>
      <c r="W190">
        <v>29927</v>
      </c>
      <c r="Y190">
        <v>65244</v>
      </c>
      <c r="Z190">
        <v>42680</v>
      </c>
      <c r="AB190">
        <v>22564</v>
      </c>
      <c r="AC190">
        <v>25160</v>
      </c>
    </row>
    <row r="191" spans="1:29" x14ac:dyDescent="0.3">
      <c r="A191" t="s">
        <v>201</v>
      </c>
      <c r="B191" t="s">
        <v>513</v>
      </c>
      <c r="C191">
        <v>2024</v>
      </c>
      <c r="D191" s="2">
        <v>194991</v>
      </c>
      <c r="E191" s="2">
        <v>79346</v>
      </c>
      <c r="F191" s="2">
        <v>115645</v>
      </c>
      <c r="G191" s="2">
        <v>231767</v>
      </c>
      <c r="H191" s="2">
        <v>54974</v>
      </c>
      <c r="I191" s="2">
        <v>176793</v>
      </c>
      <c r="J191" s="2">
        <v>165788</v>
      </c>
      <c r="K191" s="2">
        <v>18123571</v>
      </c>
      <c r="L191" s="2">
        <v>11171548</v>
      </c>
      <c r="M191" s="2">
        <f t="shared" si="15"/>
        <v>38998.199999999997</v>
      </c>
      <c r="N191" s="2">
        <f t="shared" si="16"/>
        <v>23129</v>
      </c>
      <c r="O191" s="7">
        <f t="shared" si="12"/>
        <v>0.71532185341312615</v>
      </c>
      <c r="P191" s="9">
        <f t="shared" si="17"/>
        <v>61.640986756969696</v>
      </c>
      <c r="Q191" s="7">
        <f t="shared" si="13"/>
        <v>0.23719511405851568</v>
      </c>
      <c r="R191" s="9">
        <f t="shared" si="14"/>
        <v>6.3809168733910109E-3</v>
      </c>
      <c r="V191">
        <v>129273</v>
      </c>
      <c r="W191">
        <v>66880</v>
      </c>
      <c r="Y191">
        <v>152961</v>
      </c>
      <c r="Z191">
        <v>108531</v>
      </c>
      <c r="AB191">
        <v>44430</v>
      </c>
      <c r="AC191">
        <v>96535</v>
      </c>
    </row>
    <row r="192" spans="1:29" x14ac:dyDescent="0.3">
      <c r="A192" t="s">
        <v>202</v>
      </c>
      <c r="B192" t="s">
        <v>513</v>
      </c>
      <c r="C192">
        <v>2024</v>
      </c>
      <c r="D192" s="2">
        <v>111916</v>
      </c>
      <c r="E192" s="2">
        <v>72187</v>
      </c>
      <c r="F192" s="2">
        <v>39729</v>
      </c>
      <c r="G192" s="2">
        <v>72713</v>
      </c>
      <c r="H192" s="2">
        <v>48039</v>
      </c>
      <c r="I192" s="2">
        <v>24674</v>
      </c>
      <c r="J192" s="2">
        <v>12058</v>
      </c>
      <c r="K192" s="2">
        <v>16374857</v>
      </c>
      <c r="L192" s="2">
        <v>10969693</v>
      </c>
      <c r="M192" s="2">
        <f t="shared" si="15"/>
        <v>22383.200000000001</v>
      </c>
      <c r="N192" s="2">
        <f t="shared" si="16"/>
        <v>7945.8</v>
      </c>
      <c r="O192" s="7">
        <f t="shared" si="12"/>
        <v>0.16583004414616367</v>
      </c>
      <c r="P192" s="9">
        <f t="shared" si="17"/>
        <v>66.991076624363799</v>
      </c>
      <c r="Q192" s="7">
        <f t="shared" si="13"/>
        <v>0.66066590568399053</v>
      </c>
      <c r="R192" s="9">
        <f t="shared" si="14"/>
        <v>2.4262196610327648E-3</v>
      </c>
      <c r="V192">
        <v>194991</v>
      </c>
      <c r="W192">
        <v>115645</v>
      </c>
      <c r="Y192">
        <v>231767</v>
      </c>
      <c r="Z192">
        <v>176793</v>
      </c>
      <c r="AB192">
        <v>54974</v>
      </c>
      <c r="AC192">
        <v>165788</v>
      </c>
    </row>
    <row r="193" spans="1:29" x14ac:dyDescent="0.3">
      <c r="A193" t="s">
        <v>203</v>
      </c>
      <c r="B193" t="s">
        <v>513</v>
      </c>
      <c r="C193">
        <v>2024</v>
      </c>
      <c r="D193" s="2">
        <v>74574</v>
      </c>
      <c r="E193" s="2">
        <v>13430</v>
      </c>
      <c r="F193" s="2">
        <v>61144</v>
      </c>
      <c r="G193" s="2">
        <v>93820</v>
      </c>
      <c r="H193" s="2">
        <v>25816</v>
      </c>
      <c r="I193" s="2">
        <v>68004</v>
      </c>
      <c r="J193" s="2">
        <v>63954</v>
      </c>
      <c r="K193" s="2">
        <v>15595756</v>
      </c>
      <c r="L193" s="2">
        <v>3549239</v>
      </c>
      <c r="M193" s="2">
        <f t="shared" si="15"/>
        <v>14914.8</v>
      </c>
      <c r="N193" s="2">
        <f t="shared" si="16"/>
        <v>12228.8</v>
      </c>
      <c r="O193" s="7">
        <f t="shared" si="12"/>
        <v>0.68166702195693885</v>
      </c>
      <c r="P193" s="9">
        <f t="shared" si="17"/>
        <v>22.757723319087578</v>
      </c>
      <c r="Q193" s="7">
        <f t="shared" si="13"/>
        <v>0.27516520997655086</v>
      </c>
      <c r="R193" s="9">
        <f t="shared" si="14"/>
        <v>3.9205537711669769E-3</v>
      </c>
      <c r="V193">
        <v>111916</v>
      </c>
      <c r="W193">
        <v>39729</v>
      </c>
      <c r="Y193">
        <v>72713</v>
      </c>
      <c r="Z193">
        <v>24674</v>
      </c>
      <c r="AB193">
        <v>48039</v>
      </c>
      <c r="AC193">
        <v>12058</v>
      </c>
    </row>
    <row r="194" spans="1:29" x14ac:dyDescent="0.3">
      <c r="A194" t="s">
        <v>204</v>
      </c>
      <c r="B194" t="s">
        <v>513</v>
      </c>
      <c r="C194">
        <v>2024</v>
      </c>
      <c r="D194" s="2">
        <v>82413</v>
      </c>
      <c r="E194" s="2">
        <v>44801</v>
      </c>
      <c r="F194" s="2">
        <v>37612</v>
      </c>
      <c r="G194" s="2">
        <v>113231</v>
      </c>
      <c r="H194" s="2">
        <v>47913</v>
      </c>
      <c r="I194" s="2">
        <v>65318</v>
      </c>
      <c r="J194" s="2">
        <v>49049</v>
      </c>
      <c r="K194" s="2">
        <v>18619492</v>
      </c>
      <c r="L194" s="2">
        <v>12659072</v>
      </c>
      <c r="M194" s="2">
        <f t="shared" si="15"/>
        <v>16482.599999999999</v>
      </c>
      <c r="N194" s="2">
        <f t="shared" si="16"/>
        <v>7522.4</v>
      </c>
      <c r="O194" s="7">
        <f t="shared" ref="O194:O257" si="18">J194/G194</f>
        <v>0.4331764269502168</v>
      </c>
      <c r="P194" s="9">
        <f t="shared" si="17"/>
        <v>67.988278090508587</v>
      </c>
      <c r="Q194" s="7">
        <f t="shared" ref="Q194:Q257" si="19">H194/G194</f>
        <v>0.4231438387014157</v>
      </c>
      <c r="R194" s="9">
        <f t="shared" ref="R194:R257" si="20">F194/K194</f>
        <v>2.020033629274096E-3</v>
      </c>
      <c r="V194">
        <v>74574</v>
      </c>
      <c r="W194">
        <v>61144</v>
      </c>
      <c r="Y194">
        <v>93820</v>
      </c>
      <c r="Z194">
        <v>68004</v>
      </c>
      <c r="AB194">
        <v>25816</v>
      </c>
      <c r="AC194">
        <v>63954</v>
      </c>
    </row>
    <row r="195" spans="1:29" x14ac:dyDescent="0.3">
      <c r="A195" t="s">
        <v>205</v>
      </c>
      <c r="B195" t="s">
        <v>513</v>
      </c>
      <c r="C195">
        <v>2024</v>
      </c>
      <c r="D195" s="2">
        <v>185566</v>
      </c>
      <c r="E195" s="2">
        <v>53001</v>
      </c>
      <c r="F195" s="2">
        <v>132565</v>
      </c>
      <c r="G195" s="2">
        <v>219929</v>
      </c>
      <c r="H195" s="2">
        <v>60028</v>
      </c>
      <c r="I195" s="2">
        <v>159901</v>
      </c>
      <c r="J195" s="2">
        <v>148771</v>
      </c>
      <c r="K195" s="2">
        <v>16238779</v>
      </c>
      <c r="L195" s="2">
        <v>10996198</v>
      </c>
      <c r="M195" s="2">
        <f t="shared" ref="M195:M258" si="21">D195/5</f>
        <v>37113.199999999997</v>
      </c>
      <c r="N195" s="2">
        <f t="shared" ref="N195:N258" si="22">F195/5</f>
        <v>26513</v>
      </c>
      <c r="O195" s="7">
        <f t="shared" si="18"/>
        <v>0.67645012708646879</v>
      </c>
      <c r="P195" s="9">
        <f t="shared" ref="P195:P258" si="23">L195/K195*100</f>
        <v>67.715670002036489</v>
      </c>
      <c r="Q195" s="7">
        <f t="shared" si="19"/>
        <v>0.27294263148561582</v>
      </c>
      <c r="R195" s="9">
        <f t="shared" si="20"/>
        <v>8.1634832274027503E-3</v>
      </c>
      <c r="V195">
        <v>82413</v>
      </c>
      <c r="W195">
        <v>37612</v>
      </c>
      <c r="Y195">
        <v>113231</v>
      </c>
      <c r="Z195">
        <v>65318</v>
      </c>
      <c r="AB195">
        <v>47913</v>
      </c>
      <c r="AC195">
        <v>49049</v>
      </c>
    </row>
    <row r="196" spans="1:29" x14ac:dyDescent="0.3">
      <c r="A196" t="s">
        <v>206</v>
      </c>
      <c r="B196" t="s">
        <v>513</v>
      </c>
      <c r="C196">
        <v>2024</v>
      </c>
      <c r="D196" s="2">
        <v>174343</v>
      </c>
      <c r="E196" s="2">
        <v>66638</v>
      </c>
      <c r="F196" s="2">
        <v>107705</v>
      </c>
      <c r="G196" s="2">
        <v>157462</v>
      </c>
      <c r="H196" s="2">
        <v>49636</v>
      </c>
      <c r="I196" s="2">
        <v>107826</v>
      </c>
      <c r="J196" s="2">
        <v>91265</v>
      </c>
      <c r="K196" s="2">
        <v>17762264</v>
      </c>
      <c r="L196" s="2">
        <v>8004998</v>
      </c>
      <c r="M196" s="2">
        <f t="shared" si="21"/>
        <v>34868.6</v>
      </c>
      <c r="N196" s="2">
        <f t="shared" si="22"/>
        <v>21541</v>
      </c>
      <c r="O196" s="7">
        <f t="shared" si="18"/>
        <v>0.57960015749831706</v>
      </c>
      <c r="P196" s="9">
        <f t="shared" si="23"/>
        <v>45.06744185313314</v>
      </c>
      <c r="Q196" s="7">
        <f t="shared" si="19"/>
        <v>0.31522526069781914</v>
      </c>
      <c r="R196" s="9">
        <f t="shared" si="20"/>
        <v>6.0636977358291717E-3</v>
      </c>
      <c r="V196">
        <v>185566</v>
      </c>
      <c r="W196">
        <v>132565</v>
      </c>
      <c r="Y196">
        <v>219929</v>
      </c>
      <c r="Z196">
        <v>159901</v>
      </c>
      <c r="AB196">
        <v>60028</v>
      </c>
      <c r="AC196">
        <v>148771</v>
      </c>
    </row>
    <row r="197" spans="1:29" x14ac:dyDescent="0.3">
      <c r="A197" t="s">
        <v>207</v>
      </c>
      <c r="B197" t="s">
        <v>513</v>
      </c>
      <c r="C197">
        <v>2024</v>
      </c>
      <c r="D197" s="2">
        <v>130435</v>
      </c>
      <c r="E197" s="2">
        <v>72211</v>
      </c>
      <c r="F197" s="2">
        <v>58224</v>
      </c>
      <c r="G197" s="2">
        <v>133066</v>
      </c>
      <c r="H197" s="2">
        <v>71979</v>
      </c>
      <c r="I197" s="2">
        <v>61087</v>
      </c>
      <c r="J197" s="2">
        <v>42867</v>
      </c>
      <c r="K197" s="2">
        <v>10193278</v>
      </c>
      <c r="L197" s="2">
        <v>3431413</v>
      </c>
      <c r="M197" s="2">
        <f t="shared" si="21"/>
        <v>26087</v>
      </c>
      <c r="N197" s="2">
        <f t="shared" si="22"/>
        <v>11644.8</v>
      </c>
      <c r="O197" s="7">
        <f t="shared" si="18"/>
        <v>0.32214840755715207</v>
      </c>
      <c r="P197" s="9">
        <f t="shared" si="23"/>
        <v>33.663488820769921</v>
      </c>
      <c r="Q197" s="7">
        <f t="shared" si="19"/>
        <v>0.54092705875279934</v>
      </c>
      <c r="R197" s="9">
        <f t="shared" si="20"/>
        <v>5.7119996138631753E-3</v>
      </c>
      <c r="V197">
        <v>174343</v>
      </c>
      <c r="W197">
        <v>107705</v>
      </c>
      <c r="Y197">
        <v>157462</v>
      </c>
      <c r="Z197">
        <v>107826</v>
      </c>
      <c r="AB197">
        <v>49636</v>
      </c>
      <c r="AC197">
        <v>91265</v>
      </c>
    </row>
    <row r="198" spans="1:29" x14ac:dyDescent="0.3">
      <c r="A198" t="s">
        <v>208</v>
      </c>
      <c r="B198" t="s">
        <v>513</v>
      </c>
      <c r="C198">
        <v>2024</v>
      </c>
      <c r="D198" s="2">
        <v>91844</v>
      </c>
      <c r="E198" s="2">
        <v>74754</v>
      </c>
      <c r="F198" s="2">
        <v>17090</v>
      </c>
      <c r="G198" s="2">
        <v>71247</v>
      </c>
      <c r="H198" s="2">
        <v>92129</v>
      </c>
      <c r="I198" s="2">
        <v>-20882</v>
      </c>
      <c r="J198" s="2">
        <v>-30156</v>
      </c>
      <c r="K198" s="2">
        <v>8207393</v>
      </c>
      <c r="L198" s="2">
        <v>8489464</v>
      </c>
      <c r="M198" s="2">
        <f t="shared" si="21"/>
        <v>18368.8</v>
      </c>
      <c r="N198" s="2">
        <f t="shared" si="22"/>
        <v>3418</v>
      </c>
      <c r="O198" s="7">
        <f t="shared" si="18"/>
        <v>-0.42325992673375723</v>
      </c>
      <c r="P198" s="9">
        <f t="shared" si="23"/>
        <v>103.43679168281572</v>
      </c>
      <c r="Q198" s="7">
        <f t="shared" si="19"/>
        <v>1.2930930425140708</v>
      </c>
      <c r="R198" s="9">
        <f t="shared" si="20"/>
        <v>2.0822689982068605E-3</v>
      </c>
      <c r="V198">
        <v>130435</v>
      </c>
      <c r="W198">
        <v>58224</v>
      </c>
      <c r="Y198">
        <v>133066</v>
      </c>
      <c r="Z198">
        <v>61087</v>
      </c>
      <c r="AB198">
        <v>71979</v>
      </c>
      <c r="AC198">
        <v>42867</v>
      </c>
    </row>
    <row r="199" spans="1:29" x14ac:dyDescent="0.3">
      <c r="A199" t="s">
        <v>209</v>
      </c>
      <c r="B199" t="s">
        <v>513</v>
      </c>
      <c r="C199">
        <v>2024</v>
      </c>
      <c r="D199" s="2">
        <v>166953</v>
      </c>
      <c r="E199" s="2">
        <v>37376</v>
      </c>
      <c r="F199" s="2">
        <v>129577</v>
      </c>
      <c r="G199" s="2">
        <v>205131</v>
      </c>
      <c r="H199" s="2">
        <v>29199</v>
      </c>
      <c r="I199" s="2">
        <v>175932</v>
      </c>
      <c r="J199" s="2">
        <v>158056</v>
      </c>
      <c r="K199" s="2">
        <v>18551364</v>
      </c>
      <c r="L199" s="2">
        <v>6743797</v>
      </c>
      <c r="M199" s="2">
        <f t="shared" si="21"/>
        <v>33390.6</v>
      </c>
      <c r="N199" s="2">
        <f t="shared" si="22"/>
        <v>25915.4</v>
      </c>
      <c r="O199" s="7">
        <f t="shared" si="18"/>
        <v>0.77051250176716346</v>
      </c>
      <c r="P199" s="9">
        <f t="shared" si="23"/>
        <v>36.352027807766589</v>
      </c>
      <c r="Q199" s="7">
        <f t="shared" si="19"/>
        <v>0.14234318557409656</v>
      </c>
      <c r="R199" s="9">
        <f t="shared" si="20"/>
        <v>6.9847694218063963E-3</v>
      </c>
      <c r="V199">
        <v>91844</v>
      </c>
      <c r="W199">
        <v>17090</v>
      </c>
      <c r="Y199">
        <v>71247</v>
      </c>
      <c r="Z199">
        <v>-20882</v>
      </c>
      <c r="AB199">
        <v>92129</v>
      </c>
      <c r="AC199">
        <v>-30156</v>
      </c>
    </row>
    <row r="200" spans="1:29" x14ac:dyDescent="0.3">
      <c r="A200" t="s">
        <v>210</v>
      </c>
      <c r="B200" t="s">
        <v>513</v>
      </c>
      <c r="C200">
        <v>2024</v>
      </c>
      <c r="D200" s="2">
        <v>116262</v>
      </c>
      <c r="E200" s="2">
        <v>56600</v>
      </c>
      <c r="F200" s="2">
        <v>59662</v>
      </c>
      <c r="G200" s="2">
        <v>156560</v>
      </c>
      <c r="H200" s="2">
        <v>77483</v>
      </c>
      <c r="I200" s="2">
        <v>79077</v>
      </c>
      <c r="J200" s="2">
        <v>66971</v>
      </c>
      <c r="K200" s="2">
        <v>12347689</v>
      </c>
      <c r="L200" s="2">
        <v>4829553</v>
      </c>
      <c r="M200" s="2">
        <f t="shared" si="21"/>
        <v>23252.400000000001</v>
      </c>
      <c r="N200" s="2">
        <f t="shared" si="22"/>
        <v>11932.4</v>
      </c>
      <c r="O200" s="7">
        <f t="shared" si="18"/>
        <v>0.42776571282575371</v>
      </c>
      <c r="P200" s="9">
        <f t="shared" si="23"/>
        <v>39.11301134973516</v>
      </c>
      <c r="Q200" s="7">
        <f t="shared" si="19"/>
        <v>0.49490929994890137</v>
      </c>
      <c r="R200" s="9">
        <f t="shared" si="20"/>
        <v>4.8318353337211519E-3</v>
      </c>
      <c r="V200">
        <v>166953</v>
      </c>
      <c r="W200">
        <v>129577</v>
      </c>
      <c r="Y200">
        <v>205131</v>
      </c>
      <c r="Z200">
        <v>175932</v>
      </c>
      <c r="AB200">
        <v>29199</v>
      </c>
      <c r="AC200">
        <v>158056</v>
      </c>
    </row>
    <row r="201" spans="1:29" x14ac:dyDescent="0.3">
      <c r="A201" t="s">
        <v>211</v>
      </c>
      <c r="B201" t="s">
        <v>513</v>
      </c>
      <c r="C201">
        <v>2024</v>
      </c>
      <c r="D201" s="2">
        <v>162855</v>
      </c>
      <c r="E201" s="2">
        <v>34578</v>
      </c>
      <c r="F201" s="2">
        <v>128277</v>
      </c>
      <c r="G201" s="2">
        <v>177108</v>
      </c>
      <c r="H201" s="2">
        <v>22906</v>
      </c>
      <c r="I201" s="2">
        <v>154202</v>
      </c>
      <c r="J201" s="2">
        <v>144915</v>
      </c>
      <c r="K201" s="2">
        <v>12635836</v>
      </c>
      <c r="L201" s="2">
        <v>10809006</v>
      </c>
      <c r="M201" s="2">
        <f t="shared" si="21"/>
        <v>32571</v>
      </c>
      <c r="N201" s="2">
        <f t="shared" si="22"/>
        <v>25655.4</v>
      </c>
      <c r="O201" s="7">
        <f t="shared" si="18"/>
        <v>0.8182295548478894</v>
      </c>
      <c r="P201" s="9">
        <f t="shared" si="23"/>
        <v>85.542468262487731</v>
      </c>
      <c r="Q201" s="7">
        <f t="shared" si="19"/>
        <v>0.12933351401404791</v>
      </c>
      <c r="R201" s="9">
        <f t="shared" si="20"/>
        <v>1.0151841160331616E-2</v>
      </c>
      <c r="V201">
        <v>116262</v>
      </c>
      <c r="W201">
        <v>59662</v>
      </c>
      <c r="Y201">
        <v>156560</v>
      </c>
      <c r="Z201">
        <v>79077</v>
      </c>
      <c r="AB201">
        <v>77483</v>
      </c>
      <c r="AC201">
        <v>66971</v>
      </c>
    </row>
    <row r="202" spans="1:29" x14ac:dyDescent="0.3">
      <c r="A202" t="s">
        <v>212</v>
      </c>
      <c r="B202" t="s">
        <v>514</v>
      </c>
      <c r="C202">
        <v>2020</v>
      </c>
      <c r="D202" s="2">
        <v>110504</v>
      </c>
      <c r="E202" s="2">
        <v>69720</v>
      </c>
      <c r="F202" s="2">
        <v>40784</v>
      </c>
      <c r="G202" s="2">
        <v>95485</v>
      </c>
      <c r="H202" s="2">
        <v>98300</v>
      </c>
      <c r="I202" s="2">
        <v>-2815</v>
      </c>
      <c r="J202" s="2">
        <v>-16688</v>
      </c>
      <c r="K202" s="2">
        <v>6721610</v>
      </c>
      <c r="L202" s="2">
        <v>13569320</v>
      </c>
      <c r="M202" s="2">
        <f t="shared" si="21"/>
        <v>22100.799999999999</v>
      </c>
      <c r="N202" s="2">
        <f t="shared" si="22"/>
        <v>8156.8</v>
      </c>
      <c r="O202" s="7">
        <f t="shared" si="18"/>
        <v>-0.17477090642509294</v>
      </c>
      <c r="P202" s="9">
        <f t="shared" si="23"/>
        <v>201.87603862765022</v>
      </c>
      <c r="Q202" s="7">
        <f t="shared" si="19"/>
        <v>1.029481070325182</v>
      </c>
      <c r="R202" s="9">
        <f t="shared" si="20"/>
        <v>6.0675939246698334E-3</v>
      </c>
      <c r="V202">
        <v>162855</v>
      </c>
      <c r="W202">
        <v>128277</v>
      </c>
      <c r="Y202">
        <v>177108</v>
      </c>
      <c r="Z202">
        <v>154202</v>
      </c>
      <c r="AB202">
        <v>22906</v>
      </c>
      <c r="AC202">
        <v>144915</v>
      </c>
    </row>
    <row r="203" spans="1:29" x14ac:dyDescent="0.3">
      <c r="A203" t="s">
        <v>213</v>
      </c>
      <c r="B203" t="s">
        <v>514</v>
      </c>
      <c r="C203">
        <v>2020</v>
      </c>
      <c r="D203" s="2">
        <v>93642</v>
      </c>
      <c r="E203" s="2">
        <v>75160</v>
      </c>
      <c r="F203" s="2">
        <v>18482</v>
      </c>
      <c r="G203" s="2">
        <v>56084</v>
      </c>
      <c r="H203" s="2">
        <v>40931</v>
      </c>
      <c r="I203" s="2">
        <v>15153</v>
      </c>
      <c r="J203" s="2">
        <v>-621</v>
      </c>
      <c r="K203" s="2">
        <v>17447783</v>
      </c>
      <c r="L203" s="2">
        <v>11168984</v>
      </c>
      <c r="M203" s="2">
        <f t="shared" si="21"/>
        <v>18728.400000000001</v>
      </c>
      <c r="N203" s="2">
        <f t="shared" si="22"/>
        <v>3696.4</v>
      </c>
      <c r="O203" s="7">
        <f t="shared" si="18"/>
        <v>-1.1072676699236859E-2</v>
      </c>
      <c r="P203" s="9">
        <f t="shared" si="23"/>
        <v>64.013771835653841</v>
      </c>
      <c r="Q203" s="7">
        <f t="shared" si="19"/>
        <v>0.72981599030026389</v>
      </c>
      <c r="R203" s="9">
        <f t="shared" si="20"/>
        <v>1.0592749806665981E-3</v>
      </c>
      <c r="V203">
        <v>110504</v>
      </c>
      <c r="W203">
        <v>40784</v>
      </c>
      <c r="Y203">
        <v>95485</v>
      </c>
      <c r="Z203">
        <v>-2815</v>
      </c>
      <c r="AB203">
        <v>98300</v>
      </c>
      <c r="AC203">
        <v>-16688</v>
      </c>
    </row>
    <row r="204" spans="1:29" x14ac:dyDescent="0.3">
      <c r="A204" t="s">
        <v>214</v>
      </c>
      <c r="B204" t="s">
        <v>514</v>
      </c>
      <c r="C204">
        <v>2020</v>
      </c>
      <c r="D204" s="2">
        <v>114772</v>
      </c>
      <c r="E204" s="2">
        <v>68762</v>
      </c>
      <c r="F204" s="2">
        <v>46010</v>
      </c>
      <c r="G204" s="2">
        <v>116116</v>
      </c>
      <c r="H204" s="2">
        <v>96121</v>
      </c>
      <c r="I204" s="2">
        <v>19995</v>
      </c>
      <c r="J204" s="2">
        <v>10704</v>
      </c>
      <c r="K204" s="2">
        <v>11849486</v>
      </c>
      <c r="L204" s="2">
        <v>8050405</v>
      </c>
      <c r="M204" s="2">
        <f t="shared" si="21"/>
        <v>22954.400000000001</v>
      </c>
      <c r="N204" s="2">
        <f t="shared" si="22"/>
        <v>9202</v>
      </c>
      <c r="O204" s="7">
        <f t="shared" si="18"/>
        <v>9.2183678390574939E-2</v>
      </c>
      <c r="P204" s="9">
        <f t="shared" si="23"/>
        <v>67.938854056623214</v>
      </c>
      <c r="Q204" s="7">
        <f t="shared" si="19"/>
        <v>0.82780150883599157</v>
      </c>
      <c r="R204" s="9">
        <f t="shared" si="20"/>
        <v>3.8828688434249382E-3</v>
      </c>
      <c r="V204">
        <v>93642</v>
      </c>
      <c r="W204">
        <v>18482</v>
      </c>
      <c r="Y204">
        <v>56084</v>
      </c>
      <c r="Z204">
        <v>15153</v>
      </c>
      <c r="AB204">
        <v>40931</v>
      </c>
      <c r="AC204">
        <v>-621</v>
      </c>
    </row>
    <row r="205" spans="1:29" x14ac:dyDescent="0.3">
      <c r="A205" t="s">
        <v>215</v>
      </c>
      <c r="B205" t="s">
        <v>514</v>
      </c>
      <c r="C205">
        <v>2020</v>
      </c>
      <c r="D205" s="2">
        <v>185044</v>
      </c>
      <c r="E205" s="2">
        <v>51873</v>
      </c>
      <c r="F205" s="2">
        <v>133171</v>
      </c>
      <c r="G205" s="2">
        <v>247832</v>
      </c>
      <c r="H205" s="2">
        <v>24903</v>
      </c>
      <c r="I205" s="2">
        <v>222929</v>
      </c>
      <c r="J205" s="2">
        <v>217909</v>
      </c>
      <c r="K205" s="2">
        <v>13212420</v>
      </c>
      <c r="L205" s="2">
        <v>3402732</v>
      </c>
      <c r="M205" s="2">
        <f t="shared" si="21"/>
        <v>37008.800000000003</v>
      </c>
      <c r="N205" s="2">
        <f t="shared" si="22"/>
        <v>26634.2</v>
      </c>
      <c r="O205" s="7">
        <f t="shared" si="18"/>
        <v>0.87926095096678392</v>
      </c>
      <c r="P205" s="9">
        <f t="shared" si="23"/>
        <v>25.754040516423181</v>
      </c>
      <c r="Q205" s="7">
        <f t="shared" si="19"/>
        <v>0.10048339197520902</v>
      </c>
      <c r="R205" s="9">
        <f t="shared" si="20"/>
        <v>1.0079228483502643E-2</v>
      </c>
      <c r="V205">
        <v>114772</v>
      </c>
      <c r="W205">
        <v>46010</v>
      </c>
      <c r="Y205">
        <v>116116</v>
      </c>
      <c r="Z205">
        <v>19995</v>
      </c>
      <c r="AB205">
        <v>96121</v>
      </c>
      <c r="AC205">
        <v>10704</v>
      </c>
    </row>
    <row r="206" spans="1:29" x14ac:dyDescent="0.3">
      <c r="A206" t="s">
        <v>216</v>
      </c>
      <c r="B206" t="s">
        <v>514</v>
      </c>
      <c r="C206">
        <v>2020</v>
      </c>
      <c r="D206" s="2">
        <v>165005</v>
      </c>
      <c r="E206" s="2">
        <v>12396</v>
      </c>
      <c r="F206" s="2">
        <v>152609</v>
      </c>
      <c r="G206" s="2">
        <v>256691</v>
      </c>
      <c r="H206" s="2">
        <v>34129</v>
      </c>
      <c r="I206" s="2">
        <v>222562</v>
      </c>
      <c r="J206" s="2">
        <v>218971</v>
      </c>
      <c r="K206" s="2">
        <v>13399911</v>
      </c>
      <c r="L206" s="2">
        <v>12598817</v>
      </c>
      <c r="M206" s="2">
        <f t="shared" si="21"/>
        <v>33001</v>
      </c>
      <c r="N206" s="2">
        <f t="shared" si="22"/>
        <v>30521.8</v>
      </c>
      <c r="O206" s="7">
        <f t="shared" si="18"/>
        <v>0.85305289238812421</v>
      </c>
      <c r="P206" s="9">
        <f t="shared" si="23"/>
        <v>94.021646860191836</v>
      </c>
      <c r="Q206" s="7">
        <f t="shared" si="19"/>
        <v>0.1329575248060898</v>
      </c>
      <c r="R206" s="9">
        <f t="shared" si="20"/>
        <v>1.1388806985359828E-2</v>
      </c>
      <c r="V206">
        <v>185044</v>
      </c>
      <c r="W206">
        <v>133171</v>
      </c>
      <c r="Y206">
        <v>247832</v>
      </c>
      <c r="Z206">
        <v>222929</v>
      </c>
      <c r="AB206">
        <v>24903</v>
      </c>
      <c r="AC206">
        <v>217909</v>
      </c>
    </row>
    <row r="207" spans="1:29" x14ac:dyDescent="0.3">
      <c r="A207" t="s">
        <v>217</v>
      </c>
      <c r="B207" t="s">
        <v>514</v>
      </c>
      <c r="C207">
        <v>2020</v>
      </c>
      <c r="D207" s="2">
        <v>121719</v>
      </c>
      <c r="E207" s="2">
        <v>17314</v>
      </c>
      <c r="F207" s="2">
        <v>104405</v>
      </c>
      <c r="G207" s="2">
        <v>144028</v>
      </c>
      <c r="H207" s="2">
        <v>82675</v>
      </c>
      <c r="I207" s="2">
        <v>61353</v>
      </c>
      <c r="J207" s="2">
        <v>44665</v>
      </c>
      <c r="K207" s="2">
        <v>9684346</v>
      </c>
      <c r="L207" s="2">
        <v>3458298</v>
      </c>
      <c r="M207" s="2">
        <f t="shared" si="21"/>
        <v>24343.8</v>
      </c>
      <c r="N207" s="2">
        <f t="shared" si="22"/>
        <v>20881</v>
      </c>
      <c r="O207" s="7">
        <f t="shared" si="18"/>
        <v>0.31011331130058045</v>
      </c>
      <c r="P207" s="9">
        <f t="shared" si="23"/>
        <v>35.710186315111002</v>
      </c>
      <c r="Q207" s="7">
        <f t="shared" si="19"/>
        <v>0.57402032938039826</v>
      </c>
      <c r="R207" s="9">
        <f t="shared" si="20"/>
        <v>1.0780800272935312E-2</v>
      </c>
      <c r="V207">
        <v>165005</v>
      </c>
      <c r="W207">
        <v>152609</v>
      </c>
      <c r="Y207">
        <v>256691</v>
      </c>
      <c r="Z207">
        <v>222562</v>
      </c>
      <c r="AB207">
        <v>34129</v>
      </c>
      <c r="AC207">
        <v>218971</v>
      </c>
    </row>
    <row r="208" spans="1:29" x14ac:dyDescent="0.3">
      <c r="A208" t="s">
        <v>218</v>
      </c>
      <c r="B208" t="s">
        <v>514</v>
      </c>
      <c r="C208">
        <v>2020</v>
      </c>
      <c r="D208" s="2">
        <v>155228</v>
      </c>
      <c r="E208" s="2">
        <v>43130</v>
      </c>
      <c r="F208" s="2">
        <v>112098</v>
      </c>
      <c r="G208" s="2">
        <v>183854</v>
      </c>
      <c r="H208" s="2">
        <v>41292</v>
      </c>
      <c r="I208" s="2">
        <v>142562</v>
      </c>
      <c r="J208" s="2">
        <v>127081</v>
      </c>
      <c r="K208" s="2">
        <v>6569123</v>
      </c>
      <c r="L208" s="2">
        <v>9115518</v>
      </c>
      <c r="M208" s="2">
        <f t="shared" si="21"/>
        <v>31045.599999999999</v>
      </c>
      <c r="N208" s="2">
        <f t="shared" si="22"/>
        <v>22419.599999999999</v>
      </c>
      <c r="O208" s="7">
        <f t="shared" si="18"/>
        <v>0.6912060656825525</v>
      </c>
      <c r="P208" s="9">
        <f t="shared" si="23"/>
        <v>138.7630890759695</v>
      </c>
      <c r="Q208" s="7">
        <f t="shared" si="19"/>
        <v>0.22459125175410924</v>
      </c>
      <c r="R208" s="9">
        <f t="shared" si="20"/>
        <v>1.7064378304379443E-2</v>
      </c>
      <c r="V208">
        <v>121719</v>
      </c>
      <c r="W208">
        <v>104405</v>
      </c>
      <c r="Y208">
        <v>144028</v>
      </c>
      <c r="Z208">
        <v>61353</v>
      </c>
      <c r="AB208">
        <v>82675</v>
      </c>
      <c r="AC208">
        <v>44665</v>
      </c>
    </row>
    <row r="209" spans="1:29" x14ac:dyDescent="0.3">
      <c r="A209" t="s">
        <v>219</v>
      </c>
      <c r="B209" t="s">
        <v>514</v>
      </c>
      <c r="C209">
        <v>2020</v>
      </c>
      <c r="D209" s="2">
        <v>119274</v>
      </c>
      <c r="E209" s="2">
        <v>12469</v>
      </c>
      <c r="F209" s="2">
        <v>106805</v>
      </c>
      <c r="G209" s="2">
        <v>180752</v>
      </c>
      <c r="H209" s="2">
        <v>37534</v>
      </c>
      <c r="I209" s="2">
        <v>143218</v>
      </c>
      <c r="J209" s="2">
        <v>125112</v>
      </c>
      <c r="K209" s="2">
        <v>6622572</v>
      </c>
      <c r="L209" s="2">
        <v>6220281</v>
      </c>
      <c r="M209" s="2">
        <f t="shared" si="21"/>
        <v>23854.799999999999</v>
      </c>
      <c r="N209" s="2">
        <f t="shared" si="22"/>
        <v>21361</v>
      </c>
      <c r="O209" s="7">
        <f t="shared" si="18"/>
        <v>0.69217491369390105</v>
      </c>
      <c r="P209" s="9">
        <f t="shared" si="23"/>
        <v>93.925456756076045</v>
      </c>
      <c r="Q209" s="7">
        <f t="shared" si="19"/>
        <v>0.20765468708506682</v>
      </c>
      <c r="R209" s="9">
        <f t="shared" si="20"/>
        <v>1.6127419981239916E-2</v>
      </c>
      <c r="V209">
        <v>155228</v>
      </c>
      <c r="W209">
        <v>112098</v>
      </c>
      <c r="Y209">
        <v>183854</v>
      </c>
      <c r="Z209">
        <v>142562</v>
      </c>
      <c r="AB209">
        <v>41292</v>
      </c>
      <c r="AC209">
        <v>127081</v>
      </c>
    </row>
    <row r="210" spans="1:29" x14ac:dyDescent="0.3">
      <c r="A210" t="s">
        <v>220</v>
      </c>
      <c r="B210" t="s">
        <v>514</v>
      </c>
      <c r="C210">
        <v>2020</v>
      </c>
      <c r="D210" s="2">
        <v>118344</v>
      </c>
      <c r="E210" s="2">
        <v>59138</v>
      </c>
      <c r="F210" s="2">
        <v>59206</v>
      </c>
      <c r="G210" s="2">
        <v>133508</v>
      </c>
      <c r="H210" s="2">
        <v>62638</v>
      </c>
      <c r="I210" s="2">
        <v>70870</v>
      </c>
      <c r="J210" s="2">
        <v>56157</v>
      </c>
      <c r="K210" s="2">
        <v>18261162</v>
      </c>
      <c r="L210" s="2">
        <v>11859060</v>
      </c>
      <c r="M210" s="2">
        <f t="shared" si="21"/>
        <v>23668.799999999999</v>
      </c>
      <c r="N210" s="2">
        <f t="shared" si="22"/>
        <v>11841.2</v>
      </c>
      <c r="O210" s="7">
        <f t="shared" si="18"/>
        <v>0.42062647931210112</v>
      </c>
      <c r="P210" s="9">
        <f t="shared" si="23"/>
        <v>64.941431437933687</v>
      </c>
      <c r="Q210" s="7">
        <f t="shared" si="19"/>
        <v>0.46917038679330075</v>
      </c>
      <c r="R210" s="9">
        <f t="shared" si="20"/>
        <v>3.2421814121138624E-3</v>
      </c>
      <c r="V210">
        <v>119274</v>
      </c>
      <c r="W210">
        <v>106805</v>
      </c>
      <c r="Y210">
        <v>180752</v>
      </c>
      <c r="Z210">
        <v>143218</v>
      </c>
      <c r="AB210">
        <v>37534</v>
      </c>
      <c r="AC210">
        <v>125112</v>
      </c>
    </row>
    <row r="211" spans="1:29" x14ac:dyDescent="0.3">
      <c r="A211" t="s">
        <v>221</v>
      </c>
      <c r="B211" t="s">
        <v>514</v>
      </c>
      <c r="C211">
        <v>2020</v>
      </c>
      <c r="D211" s="2">
        <v>92534</v>
      </c>
      <c r="E211" s="2">
        <v>28787</v>
      </c>
      <c r="F211" s="2">
        <v>63747</v>
      </c>
      <c r="G211" s="2">
        <v>132592</v>
      </c>
      <c r="H211" s="2">
        <v>72932</v>
      </c>
      <c r="I211" s="2">
        <v>59660</v>
      </c>
      <c r="J211" s="2">
        <v>57366</v>
      </c>
      <c r="K211" s="2">
        <v>12415745</v>
      </c>
      <c r="L211" s="2">
        <v>11082655</v>
      </c>
      <c r="M211" s="2">
        <f t="shared" si="21"/>
        <v>18506.8</v>
      </c>
      <c r="N211" s="2">
        <f t="shared" si="22"/>
        <v>12749.4</v>
      </c>
      <c r="O211" s="7">
        <f t="shared" si="18"/>
        <v>0.43265053698564016</v>
      </c>
      <c r="P211" s="9">
        <f t="shared" si="23"/>
        <v>89.262907703081851</v>
      </c>
      <c r="Q211" s="7">
        <f t="shared" si="19"/>
        <v>0.55004826837214915</v>
      </c>
      <c r="R211" s="9">
        <f t="shared" si="20"/>
        <v>5.1343676919910972E-3</v>
      </c>
      <c r="V211">
        <v>118344</v>
      </c>
      <c r="W211">
        <v>130957</v>
      </c>
      <c r="Y211">
        <v>133508</v>
      </c>
      <c r="Z211">
        <v>70870</v>
      </c>
      <c r="AB211">
        <v>62638</v>
      </c>
      <c r="AC211">
        <v>56157</v>
      </c>
    </row>
    <row r="212" spans="1:29" x14ac:dyDescent="0.3">
      <c r="A212" t="s">
        <v>222</v>
      </c>
      <c r="B212" t="s">
        <v>514</v>
      </c>
      <c r="C212">
        <v>2020</v>
      </c>
      <c r="D212" s="2">
        <v>125418</v>
      </c>
      <c r="E212" s="2">
        <v>76672</v>
      </c>
      <c r="F212" s="2">
        <v>48746</v>
      </c>
      <c r="G212" s="2">
        <v>103578</v>
      </c>
      <c r="H212" s="2">
        <v>46966</v>
      </c>
      <c r="I212" s="2">
        <v>56612</v>
      </c>
      <c r="J212" s="2">
        <v>47603</v>
      </c>
      <c r="K212" s="2">
        <v>10124795</v>
      </c>
      <c r="L212" s="2">
        <v>8411263</v>
      </c>
      <c r="M212" s="2">
        <f t="shared" si="21"/>
        <v>25083.599999999999</v>
      </c>
      <c r="N212" s="2">
        <f t="shared" si="22"/>
        <v>9749.2000000000007</v>
      </c>
      <c r="O212" s="7">
        <f t="shared" si="18"/>
        <v>0.45958601247369135</v>
      </c>
      <c r="P212" s="9">
        <f t="shared" si="23"/>
        <v>83.075884499389858</v>
      </c>
      <c r="Q212" s="7">
        <f t="shared" si="19"/>
        <v>0.45343605785012259</v>
      </c>
      <c r="R212" s="9">
        <f t="shared" si="20"/>
        <v>4.8145172322007507E-3</v>
      </c>
      <c r="V212">
        <v>92534</v>
      </c>
      <c r="W212">
        <v>63747</v>
      </c>
      <c r="Y212">
        <v>132592</v>
      </c>
      <c r="Z212">
        <v>59660</v>
      </c>
      <c r="AB212">
        <v>72932</v>
      </c>
      <c r="AC212">
        <v>57366</v>
      </c>
    </row>
    <row r="213" spans="1:29" x14ac:dyDescent="0.3">
      <c r="A213" t="s">
        <v>223</v>
      </c>
      <c r="B213" t="s">
        <v>514</v>
      </c>
      <c r="C213">
        <v>2020</v>
      </c>
      <c r="D213" s="2">
        <v>81575</v>
      </c>
      <c r="E213" s="2">
        <v>73852</v>
      </c>
      <c r="F213" s="2">
        <v>7723</v>
      </c>
      <c r="G213" s="2">
        <v>28730</v>
      </c>
      <c r="H213" s="2">
        <v>85981</v>
      </c>
      <c r="I213" s="2">
        <v>-57251</v>
      </c>
      <c r="J213" s="2">
        <v>-69957</v>
      </c>
      <c r="K213" s="2">
        <v>18810077</v>
      </c>
      <c r="L213" s="2">
        <v>12466441</v>
      </c>
      <c r="M213" s="2">
        <f t="shared" si="21"/>
        <v>16315</v>
      </c>
      <c r="N213" s="2">
        <f t="shared" si="22"/>
        <v>1544.6</v>
      </c>
      <c r="O213" s="7">
        <f t="shared" si="18"/>
        <v>-2.4349808562478246</v>
      </c>
      <c r="P213" s="9">
        <f t="shared" si="23"/>
        <v>66.27533209991644</v>
      </c>
      <c r="Q213" s="7">
        <f t="shared" si="19"/>
        <v>2.9927253741733382</v>
      </c>
      <c r="R213" s="9">
        <f t="shared" si="20"/>
        <v>4.1057779827270247E-4</v>
      </c>
      <c r="V213">
        <v>125418</v>
      </c>
      <c r="W213">
        <v>48746</v>
      </c>
      <c r="Y213">
        <v>103578</v>
      </c>
      <c r="Z213">
        <v>56612</v>
      </c>
      <c r="AB213">
        <v>46966</v>
      </c>
      <c r="AC213">
        <v>47603</v>
      </c>
    </row>
    <row r="214" spans="1:29" x14ac:dyDescent="0.3">
      <c r="A214" t="s">
        <v>224</v>
      </c>
      <c r="B214" t="s">
        <v>514</v>
      </c>
      <c r="C214">
        <v>2020</v>
      </c>
      <c r="D214" s="2">
        <v>194353</v>
      </c>
      <c r="E214" s="2">
        <v>71246</v>
      </c>
      <c r="F214" s="2">
        <v>123107</v>
      </c>
      <c r="G214" s="2">
        <v>144542</v>
      </c>
      <c r="H214" s="2">
        <v>41660</v>
      </c>
      <c r="I214" s="2">
        <v>102882</v>
      </c>
      <c r="J214" s="2">
        <v>95798</v>
      </c>
      <c r="K214" s="2">
        <v>13067987</v>
      </c>
      <c r="L214" s="2">
        <v>4656671</v>
      </c>
      <c r="M214" s="2">
        <f t="shared" si="21"/>
        <v>38870.6</v>
      </c>
      <c r="N214" s="2">
        <f t="shared" si="22"/>
        <v>24621.4</v>
      </c>
      <c r="O214" s="7">
        <f t="shared" si="18"/>
        <v>0.66276929888890423</v>
      </c>
      <c r="P214" s="9">
        <f t="shared" si="23"/>
        <v>35.634187576097219</v>
      </c>
      <c r="Q214" s="7">
        <f t="shared" si="19"/>
        <v>0.28822072477203858</v>
      </c>
      <c r="R214" s="9">
        <f t="shared" si="20"/>
        <v>9.4205021783385617E-3</v>
      </c>
      <c r="V214">
        <v>81575</v>
      </c>
      <c r="W214">
        <v>7723</v>
      </c>
      <c r="Y214">
        <v>28730</v>
      </c>
      <c r="Z214">
        <v>-57251</v>
      </c>
      <c r="AB214">
        <v>85981</v>
      </c>
      <c r="AC214">
        <v>-69957</v>
      </c>
    </row>
    <row r="215" spans="1:29" x14ac:dyDescent="0.3">
      <c r="A215" t="s">
        <v>225</v>
      </c>
      <c r="B215" t="s">
        <v>514</v>
      </c>
      <c r="C215">
        <v>2020</v>
      </c>
      <c r="D215" s="2">
        <v>165953</v>
      </c>
      <c r="E215" s="2">
        <v>17491</v>
      </c>
      <c r="F215" s="2">
        <v>148462</v>
      </c>
      <c r="G215" s="2">
        <v>218654</v>
      </c>
      <c r="H215" s="2">
        <v>95395</v>
      </c>
      <c r="I215" s="2">
        <v>123259</v>
      </c>
      <c r="J215" s="2">
        <v>113186</v>
      </c>
      <c r="K215" s="2">
        <v>8941237</v>
      </c>
      <c r="L215" s="2">
        <v>12161408</v>
      </c>
      <c r="M215" s="2">
        <f t="shared" si="21"/>
        <v>33190.6</v>
      </c>
      <c r="N215" s="2">
        <f t="shared" si="22"/>
        <v>29692.400000000001</v>
      </c>
      <c r="O215" s="7">
        <f t="shared" si="18"/>
        <v>0.51764888819779198</v>
      </c>
      <c r="P215" s="9">
        <f t="shared" si="23"/>
        <v>136.01482658383844</v>
      </c>
      <c r="Q215" s="7">
        <f t="shared" si="19"/>
        <v>0.43628289443595819</v>
      </c>
      <c r="R215" s="9">
        <f t="shared" si="20"/>
        <v>1.6604190225580642E-2</v>
      </c>
      <c r="V215">
        <v>194353</v>
      </c>
      <c r="W215">
        <v>123107</v>
      </c>
      <c r="Y215">
        <v>144542</v>
      </c>
      <c r="Z215">
        <v>102882</v>
      </c>
      <c r="AB215">
        <v>41660</v>
      </c>
      <c r="AC215">
        <v>95798</v>
      </c>
    </row>
    <row r="216" spans="1:29" x14ac:dyDescent="0.3">
      <c r="A216" t="s">
        <v>226</v>
      </c>
      <c r="B216" t="s">
        <v>514</v>
      </c>
      <c r="C216">
        <v>2020</v>
      </c>
      <c r="D216" s="2">
        <v>70953</v>
      </c>
      <c r="E216" s="2">
        <v>77889</v>
      </c>
      <c r="F216" s="2">
        <v>-6936</v>
      </c>
      <c r="G216" s="2">
        <v>36885</v>
      </c>
      <c r="H216" s="2">
        <v>52567</v>
      </c>
      <c r="I216" s="2">
        <v>-15682</v>
      </c>
      <c r="J216" s="2">
        <v>-34752</v>
      </c>
      <c r="K216" s="2">
        <v>5549148</v>
      </c>
      <c r="L216" s="2">
        <v>5773707</v>
      </c>
      <c r="M216" s="2">
        <f t="shared" si="21"/>
        <v>14190.6</v>
      </c>
      <c r="N216" s="2">
        <f t="shared" si="22"/>
        <v>-1387.2</v>
      </c>
      <c r="O216" s="7">
        <f t="shared" si="18"/>
        <v>-0.94217161447742981</v>
      </c>
      <c r="P216" s="9">
        <f t="shared" si="23"/>
        <v>104.04672933574668</v>
      </c>
      <c r="Q216" s="7">
        <f t="shared" si="19"/>
        <v>1.4251592788396368</v>
      </c>
      <c r="R216" s="9">
        <f t="shared" si="20"/>
        <v>-1.249921609587634E-3</v>
      </c>
      <c r="V216">
        <v>165953</v>
      </c>
      <c r="W216">
        <v>148462</v>
      </c>
      <c r="Y216">
        <v>218654</v>
      </c>
      <c r="Z216">
        <v>123259</v>
      </c>
      <c r="AB216">
        <v>95395</v>
      </c>
      <c r="AC216">
        <v>113186</v>
      </c>
    </row>
    <row r="217" spans="1:29" x14ac:dyDescent="0.3">
      <c r="A217" t="s">
        <v>227</v>
      </c>
      <c r="B217" t="s">
        <v>514</v>
      </c>
      <c r="C217">
        <v>2020</v>
      </c>
      <c r="D217" s="2">
        <v>127475</v>
      </c>
      <c r="E217" s="2">
        <v>31427</v>
      </c>
      <c r="F217" s="2">
        <v>96048</v>
      </c>
      <c r="G217" s="2">
        <v>143131</v>
      </c>
      <c r="H217" s="2">
        <v>72372</v>
      </c>
      <c r="I217" s="2">
        <v>70759</v>
      </c>
      <c r="J217" s="2">
        <v>57463</v>
      </c>
      <c r="K217" s="2">
        <v>19163589</v>
      </c>
      <c r="L217" s="2">
        <v>6177326</v>
      </c>
      <c r="M217" s="2">
        <f t="shared" si="21"/>
        <v>25495</v>
      </c>
      <c r="N217" s="2">
        <f t="shared" si="22"/>
        <v>19209.599999999999</v>
      </c>
      <c r="O217" s="7">
        <f t="shared" si="18"/>
        <v>0.40147137936575583</v>
      </c>
      <c r="P217" s="9">
        <f t="shared" si="23"/>
        <v>32.234703008919674</v>
      </c>
      <c r="Q217" s="7">
        <f t="shared" si="19"/>
        <v>0.50563469828339069</v>
      </c>
      <c r="R217" s="9">
        <f t="shared" si="20"/>
        <v>5.0120047972224829E-3</v>
      </c>
      <c r="V217">
        <v>70953</v>
      </c>
      <c r="W217">
        <v>-6936</v>
      </c>
      <c r="Y217">
        <v>36885</v>
      </c>
      <c r="Z217">
        <v>-15682</v>
      </c>
      <c r="AB217">
        <v>52567</v>
      </c>
      <c r="AC217">
        <v>-34752</v>
      </c>
    </row>
    <row r="218" spans="1:29" x14ac:dyDescent="0.3">
      <c r="A218" t="s">
        <v>228</v>
      </c>
      <c r="B218" t="s">
        <v>514</v>
      </c>
      <c r="C218">
        <v>2020</v>
      </c>
      <c r="D218" s="2">
        <v>143106</v>
      </c>
      <c r="E218" s="2">
        <v>37082</v>
      </c>
      <c r="F218" s="2">
        <v>106024</v>
      </c>
      <c r="G218" s="2">
        <v>155265</v>
      </c>
      <c r="H218" s="2">
        <v>59569</v>
      </c>
      <c r="I218" s="2">
        <v>95696</v>
      </c>
      <c r="J218" s="2">
        <v>81951</v>
      </c>
      <c r="K218" s="2">
        <v>5812461</v>
      </c>
      <c r="L218" s="2">
        <v>7427036</v>
      </c>
      <c r="M218" s="2">
        <f t="shared" si="21"/>
        <v>28621.200000000001</v>
      </c>
      <c r="N218" s="2">
        <f t="shared" si="22"/>
        <v>21204.799999999999</v>
      </c>
      <c r="O218" s="7">
        <f t="shared" si="18"/>
        <v>0.52781373780311081</v>
      </c>
      <c r="P218" s="9">
        <f t="shared" si="23"/>
        <v>127.77782078881906</v>
      </c>
      <c r="Q218" s="7">
        <f t="shared" si="19"/>
        <v>0.3836601938621067</v>
      </c>
      <c r="R218" s="9">
        <f t="shared" si="20"/>
        <v>1.824081056199775E-2</v>
      </c>
      <c r="V218">
        <v>127475</v>
      </c>
      <c r="W218">
        <v>96048</v>
      </c>
      <c r="Y218">
        <v>143131</v>
      </c>
      <c r="Z218">
        <v>70759</v>
      </c>
      <c r="AB218">
        <v>72372</v>
      </c>
      <c r="AC218">
        <v>57463</v>
      </c>
    </row>
    <row r="219" spans="1:29" x14ac:dyDescent="0.3">
      <c r="A219" t="s">
        <v>229</v>
      </c>
      <c r="B219" t="s">
        <v>514</v>
      </c>
      <c r="C219">
        <v>2020</v>
      </c>
      <c r="D219" s="2">
        <v>173395</v>
      </c>
      <c r="E219" s="2">
        <v>24288</v>
      </c>
      <c r="F219" s="2">
        <v>149107</v>
      </c>
      <c r="G219" s="2">
        <v>258293</v>
      </c>
      <c r="H219" s="2">
        <v>21540</v>
      </c>
      <c r="I219" s="2">
        <v>236753</v>
      </c>
      <c r="J219" s="2">
        <v>218331</v>
      </c>
      <c r="K219" s="2">
        <v>12906166</v>
      </c>
      <c r="L219" s="2">
        <v>10310108</v>
      </c>
      <c r="M219" s="2">
        <f t="shared" si="21"/>
        <v>34679</v>
      </c>
      <c r="N219" s="2">
        <f t="shared" si="22"/>
        <v>29821.4</v>
      </c>
      <c r="O219" s="7">
        <f t="shared" si="18"/>
        <v>0.84528423147355913</v>
      </c>
      <c r="P219" s="9">
        <f t="shared" si="23"/>
        <v>79.885133973947035</v>
      </c>
      <c r="Q219" s="7">
        <f t="shared" si="19"/>
        <v>8.33936653335553E-2</v>
      </c>
      <c r="R219" s="9">
        <f t="shared" si="20"/>
        <v>1.1553159939210451E-2</v>
      </c>
      <c r="V219">
        <v>143106</v>
      </c>
      <c r="W219">
        <v>106024</v>
      </c>
      <c r="Y219">
        <v>155265</v>
      </c>
      <c r="Z219">
        <v>95696</v>
      </c>
      <c r="AB219">
        <v>59569</v>
      </c>
      <c r="AC219">
        <v>81951</v>
      </c>
    </row>
    <row r="220" spans="1:29" x14ac:dyDescent="0.3">
      <c r="A220" t="s">
        <v>230</v>
      </c>
      <c r="B220" t="s">
        <v>514</v>
      </c>
      <c r="C220">
        <v>2020</v>
      </c>
      <c r="D220" s="2">
        <v>125932</v>
      </c>
      <c r="E220" s="2">
        <v>27482</v>
      </c>
      <c r="F220" s="2">
        <v>98450</v>
      </c>
      <c r="G220" s="2">
        <v>141861</v>
      </c>
      <c r="H220" s="2">
        <v>65975</v>
      </c>
      <c r="I220" s="2">
        <v>75886</v>
      </c>
      <c r="J220" s="2">
        <v>59888</v>
      </c>
      <c r="K220" s="2">
        <v>8486669</v>
      </c>
      <c r="L220" s="2">
        <v>12309205</v>
      </c>
      <c r="M220" s="2">
        <f t="shared" si="21"/>
        <v>25186.400000000001</v>
      </c>
      <c r="N220" s="2">
        <f t="shared" si="22"/>
        <v>19690</v>
      </c>
      <c r="O220" s="7">
        <f t="shared" si="18"/>
        <v>0.42215971972564692</v>
      </c>
      <c r="P220" s="9">
        <f t="shared" si="23"/>
        <v>145.04165297362249</v>
      </c>
      <c r="Q220" s="7">
        <f t="shared" si="19"/>
        <v>0.46506791859637253</v>
      </c>
      <c r="R220" s="9">
        <f t="shared" si="20"/>
        <v>1.1600546692701224E-2</v>
      </c>
      <c r="V220">
        <v>173395</v>
      </c>
      <c r="W220">
        <v>149107</v>
      </c>
      <c r="Y220">
        <v>258293</v>
      </c>
      <c r="Z220">
        <v>236753</v>
      </c>
      <c r="AB220">
        <v>21540</v>
      </c>
      <c r="AC220">
        <v>218331</v>
      </c>
    </row>
    <row r="221" spans="1:29" x14ac:dyDescent="0.3">
      <c r="A221" t="s">
        <v>231</v>
      </c>
      <c r="B221" t="s">
        <v>514</v>
      </c>
      <c r="C221">
        <v>2020</v>
      </c>
      <c r="D221" s="2">
        <v>72042</v>
      </c>
      <c r="E221" s="2">
        <v>62930</v>
      </c>
      <c r="F221" s="2">
        <v>9112</v>
      </c>
      <c r="G221" s="2">
        <v>73525</v>
      </c>
      <c r="H221" s="2">
        <v>48756</v>
      </c>
      <c r="I221" s="2">
        <v>24769</v>
      </c>
      <c r="J221" s="2">
        <v>16323</v>
      </c>
      <c r="K221" s="2">
        <v>12552975</v>
      </c>
      <c r="L221" s="2">
        <v>11123236</v>
      </c>
      <c r="M221" s="2">
        <f t="shared" si="21"/>
        <v>14408.4</v>
      </c>
      <c r="N221" s="2">
        <f t="shared" si="22"/>
        <v>1822.4</v>
      </c>
      <c r="O221" s="7">
        <f t="shared" si="18"/>
        <v>0.22200612036722203</v>
      </c>
      <c r="P221" s="9">
        <f t="shared" si="23"/>
        <v>88.61035730573829</v>
      </c>
      <c r="Q221" s="7">
        <f t="shared" si="19"/>
        <v>0.663121387283237</v>
      </c>
      <c r="R221" s="9">
        <f t="shared" si="20"/>
        <v>7.2588370485880834E-4</v>
      </c>
      <c r="V221">
        <v>125932</v>
      </c>
      <c r="W221">
        <v>98450</v>
      </c>
      <c r="Y221">
        <v>141861</v>
      </c>
      <c r="Z221">
        <v>75886</v>
      </c>
      <c r="AB221">
        <v>65975</v>
      </c>
      <c r="AC221">
        <v>59888</v>
      </c>
    </row>
    <row r="222" spans="1:29" x14ac:dyDescent="0.3">
      <c r="A222" t="s">
        <v>232</v>
      </c>
      <c r="B222" t="s">
        <v>514</v>
      </c>
      <c r="C222">
        <v>2021</v>
      </c>
      <c r="D222" s="2">
        <v>98901</v>
      </c>
      <c r="E222" s="2">
        <v>73416</v>
      </c>
      <c r="F222" s="2">
        <v>25485</v>
      </c>
      <c r="G222" s="2">
        <v>77681</v>
      </c>
      <c r="H222" s="2">
        <v>20626</v>
      </c>
      <c r="I222" s="2">
        <v>57055</v>
      </c>
      <c r="J222" s="2">
        <v>47631</v>
      </c>
      <c r="K222" s="2">
        <v>6847865</v>
      </c>
      <c r="L222" s="2">
        <v>10586725</v>
      </c>
      <c r="M222" s="2">
        <f t="shared" si="21"/>
        <v>19780.2</v>
      </c>
      <c r="N222" s="2">
        <f t="shared" si="22"/>
        <v>5097</v>
      </c>
      <c r="O222" s="7">
        <f t="shared" si="18"/>
        <v>0.61316151954789455</v>
      </c>
      <c r="P222" s="9">
        <f t="shared" si="23"/>
        <v>154.59891513632351</v>
      </c>
      <c r="Q222" s="7">
        <f t="shared" si="19"/>
        <v>0.26552181357088606</v>
      </c>
      <c r="R222" s="9">
        <f t="shared" si="20"/>
        <v>3.7215978994913014E-3</v>
      </c>
      <c r="V222">
        <v>72042</v>
      </c>
      <c r="W222">
        <v>9112</v>
      </c>
      <c r="Y222">
        <v>73525</v>
      </c>
      <c r="Z222">
        <v>24769</v>
      </c>
      <c r="AB222">
        <v>48756</v>
      </c>
      <c r="AC222">
        <v>16323</v>
      </c>
    </row>
    <row r="223" spans="1:29" x14ac:dyDescent="0.3">
      <c r="A223" t="s">
        <v>233</v>
      </c>
      <c r="B223" t="s">
        <v>514</v>
      </c>
      <c r="C223">
        <v>2021</v>
      </c>
      <c r="D223" s="2">
        <v>183052</v>
      </c>
      <c r="E223" s="2">
        <v>58290</v>
      </c>
      <c r="F223" s="2">
        <v>124762</v>
      </c>
      <c r="G223" s="2">
        <v>171193</v>
      </c>
      <c r="H223" s="2">
        <v>99976</v>
      </c>
      <c r="I223" s="2">
        <v>71217</v>
      </c>
      <c r="J223" s="2">
        <v>60233</v>
      </c>
      <c r="K223" s="2">
        <v>5344855</v>
      </c>
      <c r="L223" s="2">
        <v>8750283</v>
      </c>
      <c r="M223" s="2">
        <f t="shared" si="21"/>
        <v>36610.400000000001</v>
      </c>
      <c r="N223" s="2">
        <f t="shared" si="22"/>
        <v>24952.400000000001</v>
      </c>
      <c r="O223" s="7">
        <f t="shared" si="18"/>
        <v>0.35184265711798962</v>
      </c>
      <c r="P223" s="9">
        <f t="shared" si="23"/>
        <v>163.71413256299749</v>
      </c>
      <c r="Q223" s="7">
        <f t="shared" si="19"/>
        <v>0.58399584095144075</v>
      </c>
      <c r="R223" s="9">
        <f t="shared" si="20"/>
        <v>2.334244801776662E-2</v>
      </c>
      <c r="V223">
        <v>98901</v>
      </c>
      <c r="W223">
        <v>25485</v>
      </c>
      <c r="Y223">
        <v>77681</v>
      </c>
      <c r="Z223">
        <v>57055</v>
      </c>
      <c r="AB223">
        <v>20626</v>
      </c>
      <c r="AC223">
        <v>47631</v>
      </c>
    </row>
    <row r="224" spans="1:29" x14ac:dyDescent="0.3">
      <c r="A224" t="s">
        <v>234</v>
      </c>
      <c r="B224" t="s">
        <v>514</v>
      </c>
      <c r="C224">
        <v>2021</v>
      </c>
      <c r="D224" s="2">
        <v>76385</v>
      </c>
      <c r="E224" s="2">
        <v>48158</v>
      </c>
      <c r="F224" s="2">
        <v>28227</v>
      </c>
      <c r="G224" s="2">
        <v>71246</v>
      </c>
      <c r="H224" s="2">
        <v>33639</v>
      </c>
      <c r="I224" s="2">
        <v>37607</v>
      </c>
      <c r="J224" s="2">
        <v>34000</v>
      </c>
      <c r="K224" s="2">
        <v>17866619</v>
      </c>
      <c r="L224" s="2">
        <v>11296877</v>
      </c>
      <c r="M224" s="2">
        <f t="shared" si="21"/>
        <v>15277</v>
      </c>
      <c r="N224" s="2">
        <f t="shared" si="22"/>
        <v>5645.4</v>
      </c>
      <c r="O224" s="7">
        <f t="shared" si="18"/>
        <v>0.47721977374168373</v>
      </c>
      <c r="P224" s="9">
        <f t="shared" si="23"/>
        <v>63.228957868301769</v>
      </c>
      <c r="Q224" s="7">
        <f t="shared" si="19"/>
        <v>0.47215282261460295</v>
      </c>
      <c r="R224" s="9">
        <f t="shared" si="20"/>
        <v>1.5798736179464062E-3</v>
      </c>
      <c r="V224">
        <v>183052</v>
      </c>
      <c r="W224">
        <v>124762</v>
      </c>
      <c r="Y224">
        <v>171193</v>
      </c>
      <c r="Z224">
        <v>71217</v>
      </c>
      <c r="AB224">
        <v>99976</v>
      </c>
      <c r="AC224">
        <v>60233</v>
      </c>
    </row>
    <row r="225" spans="1:29" x14ac:dyDescent="0.3">
      <c r="A225" t="s">
        <v>235</v>
      </c>
      <c r="B225" t="s">
        <v>514</v>
      </c>
      <c r="C225">
        <v>2021</v>
      </c>
      <c r="D225" s="2">
        <v>165672</v>
      </c>
      <c r="E225" s="2">
        <v>15776</v>
      </c>
      <c r="F225" s="2">
        <v>149896</v>
      </c>
      <c r="G225" s="2">
        <v>206340</v>
      </c>
      <c r="H225" s="2">
        <v>83916</v>
      </c>
      <c r="I225" s="2">
        <v>122424</v>
      </c>
      <c r="J225" s="2">
        <v>111713</v>
      </c>
      <c r="K225" s="2">
        <v>10972558</v>
      </c>
      <c r="L225" s="2">
        <v>5442266</v>
      </c>
      <c r="M225" s="2">
        <f t="shared" si="21"/>
        <v>33134.400000000001</v>
      </c>
      <c r="N225" s="2">
        <f t="shared" si="22"/>
        <v>29979.200000000001</v>
      </c>
      <c r="O225" s="7">
        <f t="shared" si="18"/>
        <v>0.54140253949791606</v>
      </c>
      <c r="P225" s="9">
        <f t="shared" si="23"/>
        <v>49.598881136012224</v>
      </c>
      <c r="Q225" s="7">
        <f t="shared" si="19"/>
        <v>0.40668799069496947</v>
      </c>
      <c r="R225" s="9">
        <f t="shared" si="20"/>
        <v>1.3660989534072182E-2</v>
      </c>
      <c r="V225">
        <v>76385</v>
      </c>
      <c r="W225">
        <v>28227</v>
      </c>
      <c r="Y225">
        <v>71246</v>
      </c>
      <c r="Z225">
        <v>37607</v>
      </c>
      <c r="AB225">
        <v>33639</v>
      </c>
      <c r="AC225">
        <v>34000</v>
      </c>
    </row>
    <row r="226" spans="1:29" x14ac:dyDescent="0.3">
      <c r="A226" t="s">
        <v>236</v>
      </c>
      <c r="B226" t="s">
        <v>514</v>
      </c>
      <c r="C226">
        <v>2021</v>
      </c>
      <c r="D226" s="2">
        <v>135553</v>
      </c>
      <c r="E226" s="2">
        <v>40707</v>
      </c>
      <c r="F226" s="2">
        <v>94846</v>
      </c>
      <c r="G226" s="2">
        <v>153956</v>
      </c>
      <c r="H226" s="2">
        <v>76788</v>
      </c>
      <c r="I226" s="2">
        <v>77168</v>
      </c>
      <c r="J226" s="2">
        <v>57825</v>
      </c>
      <c r="K226" s="2">
        <v>10150635</v>
      </c>
      <c r="L226" s="2">
        <v>8481140</v>
      </c>
      <c r="M226" s="2">
        <f t="shared" si="21"/>
        <v>27110.6</v>
      </c>
      <c r="N226" s="2">
        <f t="shared" si="22"/>
        <v>18969.2</v>
      </c>
      <c r="O226" s="7">
        <f t="shared" si="18"/>
        <v>0.37559432565148482</v>
      </c>
      <c r="P226" s="9">
        <f t="shared" si="23"/>
        <v>83.552802361625652</v>
      </c>
      <c r="Q226" s="7">
        <f t="shared" si="19"/>
        <v>0.49876588116085113</v>
      </c>
      <c r="R226" s="9">
        <f t="shared" si="20"/>
        <v>9.3438489316185636E-3</v>
      </c>
      <c r="V226">
        <v>165672</v>
      </c>
      <c r="W226">
        <v>149896</v>
      </c>
      <c r="Y226">
        <v>206340</v>
      </c>
      <c r="Z226">
        <v>122424</v>
      </c>
      <c r="AB226">
        <v>83916</v>
      </c>
      <c r="AC226">
        <v>111713</v>
      </c>
    </row>
    <row r="227" spans="1:29" x14ac:dyDescent="0.3">
      <c r="A227" t="s">
        <v>237</v>
      </c>
      <c r="B227" t="s">
        <v>514</v>
      </c>
      <c r="C227">
        <v>2021</v>
      </c>
      <c r="D227" s="2">
        <v>186727</v>
      </c>
      <c r="E227" s="2">
        <v>54859</v>
      </c>
      <c r="F227" s="2">
        <v>131868</v>
      </c>
      <c r="G227" s="2">
        <v>205493</v>
      </c>
      <c r="H227" s="2">
        <v>67098</v>
      </c>
      <c r="I227" s="2">
        <v>138395</v>
      </c>
      <c r="J227" s="2">
        <v>121144</v>
      </c>
      <c r="K227" s="2">
        <v>9981262</v>
      </c>
      <c r="L227" s="2">
        <v>7525208</v>
      </c>
      <c r="M227" s="2">
        <f t="shared" si="21"/>
        <v>37345.4</v>
      </c>
      <c r="N227" s="2">
        <f t="shared" si="22"/>
        <v>26373.599999999999</v>
      </c>
      <c r="O227" s="7">
        <f t="shared" si="18"/>
        <v>0.58952859708116578</v>
      </c>
      <c r="P227" s="9">
        <f t="shared" si="23"/>
        <v>75.393352063095833</v>
      </c>
      <c r="Q227" s="7">
        <f t="shared" si="19"/>
        <v>0.32652207131143152</v>
      </c>
      <c r="R227" s="9">
        <f t="shared" si="20"/>
        <v>1.321155581328293E-2</v>
      </c>
      <c r="V227">
        <v>135553</v>
      </c>
      <c r="W227">
        <v>94846</v>
      </c>
      <c r="Y227">
        <v>153956</v>
      </c>
      <c r="Z227">
        <v>77168</v>
      </c>
      <c r="AB227">
        <v>76788</v>
      </c>
      <c r="AC227">
        <v>57825</v>
      </c>
    </row>
    <row r="228" spans="1:29" x14ac:dyDescent="0.3">
      <c r="A228" t="s">
        <v>238</v>
      </c>
      <c r="B228" t="s">
        <v>514</v>
      </c>
      <c r="C228">
        <v>2021</v>
      </c>
      <c r="D228" s="2">
        <v>97837</v>
      </c>
      <c r="E228" s="2">
        <v>21536</v>
      </c>
      <c r="F228" s="2">
        <v>76301</v>
      </c>
      <c r="G228" s="2">
        <v>124842</v>
      </c>
      <c r="H228" s="2">
        <v>94083</v>
      </c>
      <c r="I228" s="2">
        <v>30759</v>
      </c>
      <c r="J228" s="2">
        <v>26996</v>
      </c>
      <c r="K228" s="2">
        <v>10609125</v>
      </c>
      <c r="L228" s="2">
        <v>5874299</v>
      </c>
      <c r="M228" s="2">
        <f t="shared" si="21"/>
        <v>19567.400000000001</v>
      </c>
      <c r="N228" s="2">
        <f t="shared" si="22"/>
        <v>15260.2</v>
      </c>
      <c r="O228" s="7">
        <f t="shared" si="18"/>
        <v>0.21624132903990645</v>
      </c>
      <c r="P228" s="9">
        <f t="shared" si="23"/>
        <v>55.370249667149743</v>
      </c>
      <c r="Q228" s="7">
        <f t="shared" si="19"/>
        <v>0.75361657134618154</v>
      </c>
      <c r="R228" s="9">
        <f t="shared" si="20"/>
        <v>7.1920163067170952E-3</v>
      </c>
      <c r="V228">
        <v>186727</v>
      </c>
      <c r="W228">
        <v>131868</v>
      </c>
      <c r="Y228">
        <v>205493</v>
      </c>
      <c r="Z228">
        <v>138395</v>
      </c>
      <c r="AB228">
        <v>67098</v>
      </c>
      <c r="AC228">
        <v>121144</v>
      </c>
    </row>
    <row r="229" spans="1:29" x14ac:dyDescent="0.3">
      <c r="A229" t="s">
        <v>239</v>
      </c>
      <c r="B229" t="s">
        <v>514</v>
      </c>
      <c r="C229">
        <v>2021</v>
      </c>
      <c r="D229" s="2">
        <v>179749</v>
      </c>
      <c r="E229" s="2">
        <v>15109</v>
      </c>
      <c r="F229" s="2">
        <v>164640</v>
      </c>
      <c r="G229" s="2">
        <v>233908</v>
      </c>
      <c r="H229" s="2">
        <v>69615</v>
      </c>
      <c r="I229" s="2">
        <v>164293</v>
      </c>
      <c r="J229" s="2">
        <v>145326</v>
      </c>
      <c r="K229" s="2">
        <v>12594378</v>
      </c>
      <c r="L229" s="2">
        <v>11998604</v>
      </c>
      <c r="M229" s="2">
        <f t="shared" si="21"/>
        <v>35949.800000000003</v>
      </c>
      <c r="N229" s="2">
        <f t="shared" si="22"/>
        <v>32928</v>
      </c>
      <c r="O229" s="7">
        <f t="shared" si="18"/>
        <v>0.62129555209740583</v>
      </c>
      <c r="P229" s="9">
        <f t="shared" si="23"/>
        <v>95.269524227397341</v>
      </c>
      <c r="Q229" s="7">
        <f t="shared" si="19"/>
        <v>0.29761701181661165</v>
      </c>
      <c r="R229" s="9">
        <f t="shared" si="20"/>
        <v>1.3072499491439751E-2</v>
      </c>
      <c r="V229">
        <v>97837</v>
      </c>
      <c r="W229">
        <v>76301</v>
      </c>
      <c r="Y229">
        <v>124842</v>
      </c>
      <c r="Z229">
        <v>30759</v>
      </c>
      <c r="AB229">
        <v>94083</v>
      </c>
      <c r="AC229">
        <v>26996</v>
      </c>
    </row>
    <row r="230" spans="1:29" x14ac:dyDescent="0.3">
      <c r="A230" t="s">
        <v>240</v>
      </c>
      <c r="B230" t="s">
        <v>514</v>
      </c>
      <c r="C230">
        <v>2021</v>
      </c>
      <c r="D230" s="2">
        <v>152471</v>
      </c>
      <c r="E230" s="2">
        <v>36589</v>
      </c>
      <c r="F230" s="2">
        <v>115882</v>
      </c>
      <c r="G230" s="2">
        <v>165897</v>
      </c>
      <c r="H230" s="2">
        <v>44009</v>
      </c>
      <c r="I230" s="2">
        <v>121888</v>
      </c>
      <c r="J230" s="2">
        <v>102115</v>
      </c>
      <c r="K230" s="2">
        <v>13777198</v>
      </c>
      <c r="L230" s="2">
        <v>13154590</v>
      </c>
      <c r="M230" s="2">
        <f t="shared" si="21"/>
        <v>30494.2</v>
      </c>
      <c r="N230" s="2">
        <f t="shared" si="22"/>
        <v>23176.400000000001</v>
      </c>
      <c r="O230" s="7">
        <f t="shared" si="18"/>
        <v>0.61553252921993762</v>
      </c>
      <c r="P230" s="9">
        <f t="shared" si="23"/>
        <v>95.48088080029045</v>
      </c>
      <c r="Q230" s="7">
        <f t="shared" si="19"/>
        <v>0.26527905869304447</v>
      </c>
      <c r="R230" s="9">
        <f t="shared" si="20"/>
        <v>8.4111442689580283E-3</v>
      </c>
      <c r="V230">
        <v>179749</v>
      </c>
      <c r="W230">
        <v>164640</v>
      </c>
      <c r="Y230">
        <v>233908</v>
      </c>
      <c r="Z230">
        <v>164293</v>
      </c>
      <c r="AB230">
        <v>69615</v>
      </c>
      <c r="AC230">
        <v>145326</v>
      </c>
    </row>
    <row r="231" spans="1:29" x14ac:dyDescent="0.3">
      <c r="A231" t="s">
        <v>241</v>
      </c>
      <c r="B231" t="s">
        <v>514</v>
      </c>
      <c r="C231">
        <v>2021</v>
      </c>
      <c r="D231" s="2">
        <v>156661</v>
      </c>
      <c r="E231" s="2">
        <v>36143</v>
      </c>
      <c r="F231" s="2">
        <v>120518</v>
      </c>
      <c r="G231" s="2">
        <v>146672</v>
      </c>
      <c r="H231" s="2">
        <v>36804</v>
      </c>
      <c r="I231" s="2">
        <v>109868</v>
      </c>
      <c r="J231" s="2">
        <v>98948</v>
      </c>
      <c r="K231" s="2">
        <v>8210016</v>
      </c>
      <c r="L231" s="2">
        <v>13768485</v>
      </c>
      <c r="M231" s="2">
        <f t="shared" si="21"/>
        <v>31332.2</v>
      </c>
      <c r="N231" s="2">
        <f t="shared" si="22"/>
        <v>24103.599999999999</v>
      </c>
      <c r="O231" s="7">
        <f t="shared" si="18"/>
        <v>0.67462092287553177</v>
      </c>
      <c r="P231" s="9">
        <f t="shared" si="23"/>
        <v>167.70350995661886</v>
      </c>
      <c r="Q231" s="7">
        <f t="shared" si="19"/>
        <v>0.25092723900949054</v>
      </c>
      <c r="R231" s="9">
        <f t="shared" si="20"/>
        <v>1.4679386739319388E-2</v>
      </c>
      <c r="V231">
        <v>152471</v>
      </c>
      <c r="W231">
        <v>115882</v>
      </c>
      <c r="Y231">
        <v>165897</v>
      </c>
      <c r="Z231">
        <v>121888</v>
      </c>
      <c r="AB231">
        <v>44009</v>
      </c>
      <c r="AC231">
        <v>102115</v>
      </c>
    </row>
    <row r="232" spans="1:29" x14ac:dyDescent="0.3">
      <c r="A232" t="s">
        <v>242</v>
      </c>
      <c r="B232" t="s">
        <v>514</v>
      </c>
      <c r="C232">
        <v>2021</v>
      </c>
      <c r="D232" s="2">
        <v>80087</v>
      </c>
      <c r="E232" s="2">
        <v>59930</v>
      </c>
      <c r="F232" s="2">
        <v>20157</v>
      </c>
      <c r="G232" s="2">
        <v>73138</v>
      </c>
      <c r="H232" s="2">
        <v>84298</v>
      </c>
      <c r="I232" s="2">
        <v>-11160</v>
      </c>
      <c r="J232" s="2">
        <v>-26559</v>
      </c>
      <c r="K232" s="2">
        <v>10973544</v>
      </c>
      <c r="L232" s="2">
        <v>8282379</v>
      </c>
      <c r="M232" s="2">
        <f t="shared" si="21"/>
        <v>16017.4</v>
      </c>
      <c r="N232" s="2">
        <f t="shared" si="22"/>
        <v>4031.4</v>
      </c>
      <c r="O232" s="7">
        <f t="shared" si="18"/>
        <v>-0.36313544258798436</v>
      </c>
      <c r="P232" s="9">
        <f t="shared" si="23"/>
        <v>75.475880900463878</v>
      </c>
      <c r="Q232" s="7">
        <f t="shared" si="19"/>
        <v>1.1525882578139954</v>
      </c>
      <c r="R232" s="9">
        <f t="shared" si="20"/>
        <v>1.8368723905421987E-3</v>
      </c>
      <c r="V232">
        <v>156661</v>
      </c>
      <c r="W232">
        <v>120518</v>
      </c>
      <c r="Y232">
        <v>146672</v>
      </c>
      <c r="Z232">
        <v>109868</v>
      </c>
      <c r="AB232">
        <v>36804</v>
      </c>
      <c r="AC232">
        <v>98948</v>
      </c>
    </row>
    <row r="233" spans="1:29" x14ac:dyDescent="0.3">
      <c r="A233" t="s">
        <v>243</v>
      </c>
      <c r="B233" t="s">
        <v>514</v>
      </c>
      <c r="C233">
        <v>2021</v>
      </c>
      <c r="D233" s="2">
        <v>175816</v>
      </c>
      <c r="E233" s="2">
        <v>62269</v>
      </c>
      <c r="F233" s="2">
        <v>113547</v>
      </c>
      <c r="G233" s="2">
        <v>172106</v>
      </c>
      <c r="H233" s="2">
        <v>89319</v>
      </c>
      <c r="I233" s="2">
        <v>82787</v>
      </c>
      <c r="J233" s="2">
        <v>67166</v>
      </c>
      <c r="K233" s="2">
        <v>9158549</v>
      </c>
      <c r="L233" s="2">
        <v>12734816</v>
      </c>
      <c r="M233" s="2">
        <f t="shared" si="21"/>
        <v>35163.199999999997</v>
      </c>
      <c r="N233" s="2">
        <f t="shared" si="22"/>
        <v>22709.4</v>
      </c>
      <c r="O233" s="7">
        <f t="shared" si="18"/>
        <v>0.39025949124376835</v>
      </c>
      <c r="P233" s="9">
        <f t="shared" si="23"/>
        <v>139.04840166275247</v>
      </c>
      <c r="Q233" s="7">
        <f t="shared" si="19"/>
        <v>0.51897667716407325</v>
      </c>
      <c r="R233" s="9">
        <f t="shared" si="20"/>
        <v>1.2397924605742678E-2</v>
      </c>
      <c r="V233">
        <v>80087</v>
      </c>
      <c r="W233">
        <v>20157</v>
      </c>
      <c r="Y233">
        <v>73138</v>
      </c>
      <c r="Z233">
        <v>-11160</v>
      </c>
      <c r="AB233">
        <v>84298</v>
      </c>
      <c r="AC233">
        <v>-26559</v>
      </c>
    </row>
    <row r="234" spans="1:29" x14ac:dyDescent="0.3">
      <c r="A234" t="s">
        <v>244</v>
      </c>
      <c r="B234" t="s">
        <v>514</v>
      </c>
      <c r="C234">
        <v>2021</v>
      </c>
      <c r="D234" s="2">
        <v>124441</v>
      </c>
      <c r="E234" s="2">
        <v>32431</v>
      </c>
      <c r="F234" s="2">
        <v>92010</v>
      </c>
      <c r="G234" s="2">
        <v>173691</v>
      </c>
      <c r="H234" s="2">
        <v>78483</v>
      </c>
      <c r="I234" s="2">
        <v>95208</v>
      </c>
      <c r="J234" s="2">
        <v>76823</v>
      </c>
      <c r="K234" s="2">
        <v>17851424</v>
      </c>
      <c r="L234" s="2">
        <v>11284960</v>
      </c>
      <c r="M234" s="2">
        <f t="shared" si="21"/>
        <v>24888.2</v>
      </c>
      <c r="N234" s="2">
        <f t="shared" si="22"/>
        <v>18402</v>
      </c>
      <c r="O234" s="7">
        <f t="shared" si="18"/>
        <v>0.44229695263427582</v>
      </c>
      <c r="P234" s="9">
        <f t="shared" si="23"/>
        <v>63.216021310120695</v>
      </c>
      <c r="Q234" s="7">
        <f t="shared" si="19"/>
        <v>0.45185415479213087</v>
      </c>
      <c r="R234" s="9">
        <f t="shared" si="20"/>
        <v>5.1542106668913358E-3</v>
      </c>
      <c r="V234">
        <v>175816</v>
      </c>
      <c r="W234">
        <v>113547</v>
      </c>
      <c r="Y234">
        <v>172106</v>
      </c>
      <c r="Z234">
        <v>82787</v>
      </c>
      <c r="AB234">
        <v>89319</v>
      </c>
      <c r="AC234">
        <v>67166</v>
      </c>
    </row>
    <row r="235" spans="1:29" x14ac:dyDescent="0.3">
      <c r="A235" t="s">
        <v>245</v>
      </c>
      <c r="B235" t="s">
        <v>514</v>
      </c>
      <c r="C235">
        <v>2021</v>
      </c>
      <c r="D235" s="2">
        <v>162360</v>
      </c>
      <c r="E235" s="2">
        <v>55004</v>
      </c>
      <c r="F235" s="2">
        <v>107356</v>
      </c>
      <c r="G235" s="2">
        <v>211225</v>
      </c>
      <c r="H235" s="2">
        <v>71985</v>
      </c>
      <c r="I235" s="2">
        <v>139240</v>
      </c>
      <c r="J235" s="2">
        <v>119939</v>
      </c>
      <c r="K235" s="2">
        <v>12654502</v>
      </c>
      <c r="L235" s="2">
        <v>6882149</v>
      </c>
      <c r="M235" s="2">
        <f t="shared" si="21"/>
        <v>32472</v>
      </c>
      <c r="N235" s="2">
        <f t="shared" si="22"/>
        <v>21471.200000000001</v>
      </c>
      <c r="O235" s="7">
        <f t="shared" si="18"/>
        <v>0.56782577819860336</v>
      </c>
      <c r="P235" s="9">
        <f t="shared" si="23"/>
        <v>54.384984885221087</v>
      </c>
      <c r="Q235" s="7">
        <f t="shared" si="19"/>
        <v>0.34079772754172094</v>
      </c>
      <c r="R235" s="9">
        <f t="shared" si="20"/>
        <v>8.4836210859976953E-3</v>
      </c>
      <c r="V235">
        <v>124441</v>
      </c>
      <c r="W235">
        <v>92010</v>
      </c>
      <c r="Y235">
        <v>173691</v>
      </c>
      <c r="Z235">
        <v>95208</v>
      </c>
      <c r="AB235">
        <v>78483</v>
      </c>
      <c r="AC235">
        <v>76823</v>
      </c>
    </row>
    <row r="236" spans="1:29" x14ac:dyDescent="0.3">
      <c r="A236" t="s">
        <v>246</v>
      </c>
      <c r="B236" t="s">
        <v>514</v>
      </c>
      <c r="C236">
        <v>2021</v>
      </c>
      <c r="D236" s="2">
        <v>100861</v>
      </c>
      <c r="E236" s="2">
        <v>78577</v>
      </c>
      <c r="F236" s="2">
        <v>22284</v>
      </c>
      <c r="G236" s="2">
        <v>107925</v>
      </c>
      <c r="H236" s="2">
        <v>24078</v>
      </c>
      <c r="I236" s="2">
        <v>83847</v>
      </c>
      <c r="J236" s="2">
        <v>75757</v>
      </c>
      <c r="K236" s="2">
        <v>18427004</v>
      </c>
      <c r="L236" s="2">
        <v>10258746</v>
      </c>
      <c r="M236" s="2">
        <f t="shared" si="21"/>
        <v>20172.2</v>
      </c>
      <c r="N236" s="2">
        <f t="shared" si="22"/>
        <v>4456.8</v>
      </c>
      <c r="O236" s="7">
        <f t="shared" si="18"/>
        <v>0.70194116284456798</v>
      </c>
      <c r="P236" s="9">
        <f t="shared" si="23"/>
        <v>55.672349124144105</v>
      </c>
      <c r="Q236" s="7">
        <f t="shared" si="19"/>
        <v>0.22309937456567061</v>
      </c>
      <c r="R236" s="9">
        <f t="shared" si="20"/>
        <v>1.2093121594807274E-3</v>
      </c>
      <c r="V236">
        <v>162360</v>
      </c>
      <c r="W236">
        <v>107356</v>
      </c>
      <c r="Y236">
        <v>211225</v>
      </c>
      <c r="Z236">
        <v>139240</v>
      </c>
      <c r="AB236">
        <v>71985</v>
      </c>
      <c r="AC236">
        <v>119939</v>
      </c>
    </row>
    <row r="237" spans="1:29" x14ac:dyDescent="0.3">
      <c r="A237" t="s">
        <v>247</v>
      </c>
      <c r="B237" t="s">
        <v>514</v>
      </c>
      <c r="C237">
        <v>2021</v>
      </c>
      <c r="D237" s="2">
        <v>182997</v>
      </c>
      <c r="E237" s="2">
        <v>36015</v>
      </c>
      <c r="F237" s="2">
        <v>146982</v>
      </c>
      <c r="G237" s="2">
        <v>200302</v>
      </c>
      <c r="H237" s="2">
        <v>79881</v>
      </c>
      <c r="I237" s="2">
        <v>120421</v>
      </c>
      <c r="J237" s="2">
        <v>114510</v>
      </c>
      <c r="K237" s="2">
        <v>18526705</v>
      </c>
      <c r="L237" s="2">
        <v>4308507</v>
      </c>
      <c r="M237" s="2">
        <f t="shared" si="21"/>
        <v>36599.4</v>
      </c>
      <c r="N237" s="2">
        <f t="shared" si="22"/>
        <v>29396.400000000001</v>
      </c>
      <c r="O237" s="7">
        <f t="shared" si="18"/>
        <v>0.57168675300296556</v>
      </c>
      <c r="P237" s="9">
        <f t="shared" si="23"/>
        <v>23.255657171634137</v>
      </c>
      <c r="Q237" s="7">
        <f t="shared" si="19"/>
        <v>0.39880280776028199</v>
      </c>
      <c r="R237" s="9">
        <f t="shared" si="20"/>
        <v>7.9335208284473675E-3</v>
      </c>
      <c r="V237">
        <v>100861</v>
      </c>
      <c r="W237">
        <v>22284</v>
      </c>
      <c r="Y237">
        <v>107925</v>
      </c>
      <c r="Z237">
        <v>83847</v>
      </c>
      <c r="AB237">
        <v>24078</v>
      </c>
      <c r="AC237">
        <v>75757</v>
      </c>
    </row>
    <row r="238" spans="1:29" x14ac:dyDescent="0.3">
      <c r="A238" t="s">
        <v>248</v>
      </c>
      <c r="B238" t="s">
        <v>514</v>
      </c>
      <c r="C238">
        <v>2021</v>
      </c>
      <c r="D238" s="2">
        <v>184461</v>
      </c>
      <c r="E238" s="2">
        <v>35683</v>
      </c>
      <c r="F238" s="2">
        <v>148778</v>
      </c>
      <c r="G238" s="2">
        <v>182407</v>
      </c>
      <c r="H238" s="2">
        <v>76550</v>
      </c>
      <c r="I238" s="2">
        <v>105857</v>
      </c>
      <c r="J238" s="2">
        <v>101427</v>
      </c>
      <c r="K238" s="2">
        <v>13546310</v>
      </c>
      <c r="L238" s="2">
        <v>5851274</v>
      </c>
      <c r="M238" s="2">
        <f t="shared" si="21"/>
        <v>36892.199999999997</v>
      </c>
      <c r="N238" s="2">
        <f t="shared" si="22"/>
        <v>29755.599999999999</v>
      </c>
      <c r="O238" s="7">
        <f t="shared" si="18"/>
        <v>0.55604773939596619</v>
      </c>
      <c r="P238" s="9">
        <f t="shared" si="23"/>
        <v>43.194596904987407</v>
      </c>
      <c r="Q238" s="7">
        <f t="shared" si="19"/>
        <v>0.4196659119441688</v>
      </c>
      <c r="R238" s="9">
        <f t="shared" si="20"/>
        <v>1.0982917119126906E-2</v>
      </c>
      <c r="V238">
        <v>182997</v>
      </c>
      <c r="W238">
        <v>146982</v>
      </c>
      <c r="Y238">
        <v>200302</v>
      </c>
      <c r="Z238">
        <v>120421</v>
      </c>
      <c r="AB238">
        <v>79881</v>
      </c>
      <c r="AC238">
        <v>114510</v>
      </c>
    </row>
    <row r="239" spans="1:29" x14ac:dyDescent="0.3">
      <c r="A239" t="s">
        <v>249</v>
      </c>
      <c r="B239" t="s">
        <v>514</v>
      </c>
      <c r="C239">
        <v>2021</v>
      </c>
      <c r="D239" s="2">
        <v>148511</v>
      </c>
      <c r="E239" s="2">
        <v>76435</v>
      </c>
      <c r="F239" s="2">
        <v>72076</v>
      </c>
      <c r="G239" s="2">
        <v>103729</v>
      </c>
      <c r="H239" s="2">
        <v>42961</v>
      </c>
      <c r="I239" s="2">
        <v>60768</v>
      </c>
      <c r="J239" s="2">
        <v>42363</v>
      </c>
      <c r="K239" s="2">
        <v>18312409</v>
      </c>
      <c r="L239" s="2">
        <v>4868670</v>
      </c>
      <c r="M239" s="2">
        <f t="shared" si="21"/>
        <v>29702.2</v>
      </c>
      <c r="N239" s="2">
        <f t="shared" si="22"/>
        <v>14415.2</v>
      </c>
      <c r="O239" s="7">
        <f t="shared" si="18"/>
        <v>0.40840073653462389</v>
      </c>
      <c r="P239" s="9">
        <f t="shared" si="23"/>
        <v>26.586725973628045</v>
      </c>
      <c r="Q239" s="7">
        <f t="shared" si="19"/>
        <v>0.41416575885239421</v>
      </c>
      <c r="R239" s="9">
        <f t="shared" si="20"/>
        <v>3.9359103436363832E-3</v>
      </c>
      <c r="V239">
        <v>184461</v>
      </c>
      <c r="W239">
        <v>148778</v>
      </c>
      <c r="Y239">
        <v>182407</v>
      </c>
      <c r="Z239">
        <v>105857</v>
      </c>
      <c r="AB239">
        <v>76550</v>
      </c>
      <c r="AC239">
        <v>101427</v>
      </c>
    </row>
    <row r="240" spans="1:29" x14ac:dyDescent="0.3">
      <c r="A240" t="s">
        <v>250</v>
      </c>
      <c r="B240" t="s">
        <v>514</v>
      </c>
      <c r="C240">
        <v>2021</v>
      </c>
      <c r="D240" s="2">
        <v>148818</v>
      </c>
      <c r="E240" s="2">
        <v>66446</v>
      </c>
      <c r="F240" s="2">
        <v>82372</v>
      </c>
      <c r="G240" s="2">
        <v>123660</v>
      </c>
      <c r="H240" s="2">
        <v>51877</v>
      </c>
      <c r="I240" s="2">
        <v>71783</v>
      </c>
      <c r="J240" s="2">
        <v>56525</v>
      </c>
      <c r="K240" s="2">
        <v>14321425</v>
      </c>
      <c r="L240" s="2">
        <v>10551989</v>
      </c>
      <c r="M240" s="2">
        <f t="shared" si="21"/>
        <v>29763.599999999999</v>
      </c>
      <c r="N240" s="2">
        <f t="shared" si="22"/>
        <v>16474.400000000001</v>
      </c>
      <c r="O240" s="7">
        <f t="shared" si="18"/>
        <v>0.45710011321365035</v>
      </c>
      <c r="P240" s="9">
        <f t="shared" si="23"/>
        <v>73.679742064773578</v>
      </c>
      <c r="Q240" s="7">
        <f t="shared" si="19"/>
        <v>0.41951318130357429</v>
      </c>
      <c r="R240" s="9">
        <f t="shared" si="20"/>
        <v>5.7516622822100455E-3</v>
      </c>
      <c r="V240">
        <v>148511</v>
      </c>
      <c r="W240">
        <v>72076</v>
      </c>
      <c r="Y240">
        <v>103729</v>
      </c>
      <c r="Z240">
        <v>60768</v>
      </c>
      <c r="AB240">
        <v>42961</v>
      </c>
      <c r="AC240">
        <v>42363</v>
      </c>
    </row>
    <row r="241" spans="1:29" x14ac:dyDescent="0.3">
      <c r="A241" t="s">
        <v>251</v>
      </c>
      <c r="B241" t="s">
        <v>514</v>
      </c>
      <c r="C241">
        <v>2021</v>
      </c>
      <c r="D241" s="2">
        <v>122715</v>
      </c>
      <c r="E241" s="2">
        <v>20326</v>
      </c>
      <c r="F241" s="2">
        <v>102389</v>
      </c>
      <c r="G241" s="2">
        <v>123949</v>
      </c>
      <c r="H241" s="2">
        <v>94148</v>
      </c>
      <c r="I241" s="2">
        <v>29801</v>
      </c>
      <c r="J241" s="2">
        <v>10151</v>
      </c>
      <c r="K241" s="2">
        <v>6992825</v>
      </c>
      <c r="L241" s="2">
        <v>6832978</v>
      </c>
      <c r="M241" s="2">
        <f t="shared" si="21"/>
        <v>24543</v>
      </c>
      <c r="N241" s="2">
        <f t="shared" si="22"/>
        <v>20477.8</v>
      </c>
      <c r="O241" s="7">
        <f t="shared" si="18"/>
        <v>8.1896586499285995E-2</v>
      </c>
      <c r="P241" s="9">
        <f t="shared" si="23"/>
        <v>97.714128410191876</v>
      </c>
      <c r="Q241" s="7">
        <f t="shared" si="19"/>
        <v>0.75957046849914078</v>
      </c>
      <c r="R241" s="9">
        <f t="shared" si="20"/>
        <v>1.4642008058259716E-2</v>
      </c>
      <c r="V241">
        <v>148818</v>
      </c>
      <c r="W241">
        <v>82372</v>
      </c>
      <c r="Y241">
        <v>123660</v>
      </c>
      <c r="Z241">
        <v>71783</v>
      </c>
      <c r="AB241">
        <v>51877</v>
      </c>
      <c r="AC241">
        <v>56525</v>
      </c>
    </row>
    <row r="242" spans="1:29" x14ac:dyDescent="0.3">
      <c r="A242" t="s">
        <v>252</v>
      </c>
      <c r="B242" t="s">
        <v>514</v>
      </c>
      <c r="C242">
        <v>2022</v>
      </c>
      <c r="D242" s="2">
        <v>173629</v>
      </c>
      <c r="E242" s="2">
        <v>62579</v>
      </c>
      <c r="F242" s="2">
        <v>111050</v>
      </c>
      <c r="G242" s="2">
        <v>201366</v>
      </c>
      <c r="H242" s="2">
        <v>98847</v>
      </c>
      <c r="I242" s="2">
        <v>102519</v>
      </c>
      <c r="J242" s="2">
        <v>88625</v>
      </c>
      <c r="K242" s="2">
        <v>5264500</v>
      </c>
      <c r="L242" s="2">
        <v>13556086</v>
      </c>
      <c r="M242" s="2">
        <f t="shared" si="21"/>
        <v>34725.800000000003</v>
      </c>
      <c r="N242" s="2">
        <f t="shared" si="22"/>
        <v>22210</v>
      </c>
      <c r="O242" s="7">
        <f t="shared" si="18"/>
        <v>0.44011898731662741</v>
      </c>
      <c r="P242" s="9">
        <f t="shared" si="23"/>
        <v>257.49997150726568</v>
      </c>
      <c r="Q242" s="7">
        <f t="shared" si="19"/>
        <v>0.4908822740681148</v>
      </c>
      <c r="R242" s="9">
        <f t="shared" si="20"/>
        <v>2.1094120999145219E-2</v>
      </c>
      <c r="V242">
        <v>122715</v>
      </c>
      <c r="W242">
        <v>102389</v>
      </c>
      <c r="Y242">
        <v>123949</v>
      </c>
      <c r="Z242">
        <v>29801</v>
      </c>
      <c r="AB242">
        <v>94148</v>
      </c>
      <c r="AC242">
        <v>10151</v>
      </c>
    </row>
    <row r="243" spans="1:29" x14ac:dyDescent="0.3">
      <c r="A243" t="s">
        <v>253</v>
      </c>
      <c r="B243" t="s">
        <v>514</v>
      </c>
      <c r="C243">
        <v>2022</v>
      </c>
      <c r="D243" s="2">
        <v>142447</v>
      </c>
      <c r="E243" s="2">
        <v>30049</v>
      </c>
      <c r="F243" s="2">
        <v>112398</v>
      </c>
      <c r="G243" s="2">
        <v>208115</v>
      </c>
      <c r="H243" s="2">
        <v>31082</v>
      </c>
      <c r="I243" s="2">
        <v>177033</v>
      </c>
      <c r="J243" s="2">
        <v>174372</v>
      </c>
      <c r="K243" s="2">
        <v>6217060</v>
      </c>
      <c r="L243" s="2">
        <v>4031519</v>
      </c>
      <c r="M243" s="2">
        <f t="shared" si="21"/>
        <v>28489.4</v>
      </c>
      <c r="N243" s="2">
        <f t="shared" si="22"/>
        <v>22479.599999999999</v>
      </c>
      <c r="O243" s="7">
        <f t="shared" si="18"/>
        <v>0.83786368113783249</v>
      </c>
      <c r="P243" s="9">
        <f t="shared" si="23"/>
        <v>64.846068720584967</v>
      </c>
      <c r="Q243" s="7">
        <f t="shared" si="19"/>
        <v>0.14935011892463301</v>
      </c>
      <c r="R243" s="9">
        <f t="shared" si="20"/>
        <v>1.8078963368537541E-2</v>
      </c>
      <c r="V243">
        <v>173629</v>
      </c>
      <c r="W243">
        <v>111050</v>
      </c>
      <c r="Y243">
        <v>201366</v>
      </c>
      <c r="Z243">
        <v>102519</v>
      </c>
      <c r="AB243">
        <v>98847</v>
      </c>
      <c r="AC243">
        <v>88625</v>
      </c>
    </row>
    <row r="244" spans="1:29" x14ac:dyDescent="0.3">
      <c r="A244" t="s">
        <v>254</v>
      </c>
      <c r="B244" t="s">
        <v>514</v>
      </c>
      <c r="C244">
        <v>2022</v>
      </c>
      <c r="D244" s="2">
        <v>52920</v>
      </c>
      <c r="E244" s="2">
        <v>70315</v>
      </c>
      <c r="F244" s="2">
        <v>-17395</v>
      </c>
      <c r="G244" s="2">
        <v>82166</v>
      </c>
      <c r="H244" s="2">
        <v>23946</v>
      </c>
      <c r="I244" s="2">
        <v>58220</v>
      </c>
      <c r="J244" s="2">
        <v>43488</v>
      </c>
      <c r="K244" s="2">
        <v>13099932</v>
      </c>
      <c r="L244" s="2">
        <v>4851317</v>
      </c>
      <c r="M244" s="2">
        <f t="shared" si="21"/>
        <v>10584</v>
      </c>
      <c r="N244" s="2">
        <f t="shared" si="22"/>
        <v>-3479</v>
      </c>
      <c r="O244" s="7">
        <f t="shared" si="18"/>
        <v>0.52927001436117127</v>
      </c>
      <c r="P244" s="9">
        <f t="shared" si="23"/>
        <v>37.033146431599796</v>
      </c>
      <c r="Q244" s="7">
        <f t="shared" si="19"/>
        <v>0.29143441326095954</v>
      </c>
      <c r="R244" s="9">
        <f t="shared" si="20"/>
        <v>-1.3278694881774958E-3</v>
      </c>
      <c r="V244">
        <v>142447</v>
      </c>
      <c r="W244">
        <v>112398</v>
      </c>
      <c r="Y244">
        <v>208115</v>
      </c>
      <c r="Z244">
        <v>177033</v>
      </c>
      <c r="AB244">
        <v>31082</v>
      </c>
      <c r="AC244">
        <v>174372</v>
      </c>
    </row>
    <row r="245" spans="1:29" x14ac:dyDescent="0.3">
      <c r="A245" t="s">
        <v>255</v>
      </c>
      <c r="B245" t="s">
        <v>514</v>
      </c>
      <c r="C245">
        <v>2022</v>
      </c>
      <c r="D245" s="2">
        <v>105230</v>
      </c>
      <c r="E245" s="2">
        <v>40027</v>
      </c>
      <c r="F245" s="2">
        <v>65203</v>
      </c>
      <c r="G245" s="2">
        <v>157744</v>
      </c>
      <c r="H245" s="2">
        <v>74321</v>
      </c>
      <c r="I245" s="2">
        <v>83423</v>
      </c>
      <c r="J245" s="2">
        <v>80467</v>
      </c>
      <c r="K245" s="2">
        <v>15717207</v>
      </c>
      <c r="L245" s="2">
        <v>12384451</v>
      </c>
      <c r="M245" s="2">
        <f t="shared" si="21"/>
        <v>21046</v>
      </c>
      <c r="N245" s="2">
        <f t="shared" si="22"/>
        <v>13040.6</v>
      </c>
      <c r="O245" s="7">
        <f t="shared" si="18"/>
        <v>0.51011131960645095</v>
      </c>
      <c r="P245" s="9">
        <f t="shared" si="23"/>
        <v>78.795494644818248</v>
      </c>
      <c r="Q245" s="7">
        <f t="shared" si="19"/>
        <v>0.47114945734861546</v>
      </c>
      <c r="R245" s="9">
        <f t="shared" si="20"/>
        <v>4.1485106100594077E-3</v>
      </c>
      <c r="V245">
        <v>52920</v>
      </c>
      <c r="W245">
        <v>-17395</v>
      </c>
      <c r="Y245">
        <v>82166</v>
      </c>
      <c r="Z245">
        <v>58220</v>
      </c>
      <c r="AB245">
        <v>23946</v>
      </c>
      <c r="AC245">
        <v>43488</v>
      </c>
    </row>
    <row r="246" spans="1:29" x14ac:dyDescent="0.3">
      <c r="A246" t="s">
        <v>256</v>
      </c>
      <c r="B246" t="s">
        <v>514</v>
      </c>
      <c r="C246">
        <v>2022</v>
      </c>
      <c r="D246" s="2">
        <v>75963</v>
      </c>
      <c r="E246" s="2">
        <v>49443</v>
      </c>
      <c r="F246" s="2">
        <v>26520</v>
      </c>
      <c r="G246" s="2">
        <v>145779</v>
      </c>
      <c r="H246" s="2">
        <v>54063</v>
      </c>
      <c r="I246" s="2">
        <v>91716</v>
      </c>
      <c r="J246" s="2">
        <v>73795</v>
      </c>
      <c r="K246" s="2">
        <v>14780146</v>
      </c>
      <c r="L246" s="2">
        <v>5363999</v>
      </c>
      <c r="M246" s="2">
        <f t="shared" si="21"/>
        <v>15192.6</v>
      </c>
      <c r="N246" s="2">
        <f t="shared" si="22"/>
        <v>5304</v>
      </c>
      <c r="O246" s="7">
        <f t="shared" si="18"/>
        <v>0.5062114570685764</v>
      </c>
      <c r="P246" s="9">
        <f t="shared" si="23"/>
        <v>36.291921608893446</v>
      </c>
      <c r="Q246" s="7">
        <f t="shared" si="19"/>
        <v>0.37085588459243102</v>
      </c>
      <c r="R246" s="9">
        <f t="shared" si="20"/>
        <v>1.7942989196453134E-3</v>
      </c>
      <c r="V246">
        <v>105230</v>
      </c>
      <c r="W246">
        <v>65203</v>
      </c>
      <c r="Y246">
        <v>157744</v>
      </c>
      <c r="Z246">
        <v>83423</v>
      </c>
      <c r="AB246">
        <v>74321</v>
      </c>
      <c r="AC246">
        <v>80467</v>
      </c>
    </row>
    <row r="247" spans="1:29" x14ac:dyDescent="0.3">
      <c r="A247" t="s">
        <v>257</v>
      </c>
      <c r="B247" t="s">
        <v>514</v>
      </c>
      <c r="C247">
        <v>2022</v>
      </c>
      <c r="D247" s="2">
        <v>122099</v>
      </c>
      <c r="E247" s="2">
        <v>35849</v>
      </c>
      <c r="F247" s="2">
        <v>86250</v>
      </c>
      <c r="G247" s="2">
        <v>138110</v>
      </c>
      <c r="H247" s="2">
        <v>46585</v>
      </c>
      <c r="I247" s="2">
        <v>91525</v>
      </c>
      <c r="J247" s="2">
        <v>77522</v>
      </c>
      <c r="K247" s="2">
        <v>15005057</v>
      </c>
      <c r="L247" s="2">
        <v>3289102</v>
      </c>
      <c r="M247" s="2">
        <f t="shared" si="21"/>
        <v>24419.8</v>
      </c>
      <c r="N247" s="2">
        <f t="shared" si="22"/>
        <v>17250</v>
      </c>
      <c r="O247" s="7">
        <f t="shared" si="18"/>
        <v>0.56130620519875463</v>
      </c>
      <c r="P247" s="9">
        <f t="shared" si="23"/>
        <v>21.919956718591603</v>
      </c>
      <c r="Q247" s="7">
        <f t="shared" si="19"/>
        <v>0.33730359858084136</v>
      </c>
      <c r="R247" s="9">
        <f t="shared" si="20"/>
        <v>5.7480621366516639E-3</v>
      </c>
      <c r="V247">
        <v>75963</v>
      </c>
      <c r="W247">
        <v>26520</v>
      </c>
      <c r="Y247">
        <v>145779</v>
      </c>
      <c r="Z247">
        <v>91716</v>
      </c>
      <c r="AB247">
        <v>54063</v>
      </c>
      <c r="AC247">
        <v>73795</v>
      </c>
    </row>
    <row r="248" spans="1:29" x14ac:dyDescent="0.3">
      <c r="A248" t="s">
        <v>258</v>
      </c>
      <c r="B248" t="s">
        <v>514</v>
      </c>
      <c r="C248">
        <v>2022</v>
      </c>
      <c r="D248" s="2">
        <v>76017</v>
      </c>
      <c r="E248" s="2">
        <v>55350</v>
      </c>
      <c r="F248" s="2">
        <v>20667</v>
      </c>
      <c r="G248" s="2">
        <v>52868</v>
      </c>
      <c r="H248" s="2">
        <v>44426</v>
      </c>
      <c r="I248" s="2">
        <v>8442</v>
      </c>
      <c r="J248" s="2">
        <v>-11336</v>
      </c>
      <c r="K248" s="2">
        <v>16186361</v>
      </c>
      <c r="L248" s="2">
        <v>12479413</v>
      </c>
      <c r="M248" s="2">
        <f t="shared" si="21"/>
        <v>15203.4</v>
      </c>
      <c r="N248" s="2">
        <f t="shared" si="22"/>
        <v>4133.3999999999996</v>
      </c>
      <c r="O248" s="7">
        <f t="shared" si="18"/>
        <v>-0.21442082166906257</v>
      </c>
      <c r="P248" s="9">
        <f t="shared" si="23"/>
        <v>77.098323705989259</v>
      </c>
      <c r="Q248" s="7">
        <f t="shared" si="19"/>
        <v>0.84031928576832871</v>
      </c>
      <c r="R248" s="9">
        <f t="shared" si="20"/>
        <v>1.2768157092258106E-3</v>
      </c>
      <c r="V248">
        <v>122099</v>
      </c>
      <c r="W248">
        <v>86250</v>
      </c>
      <c r="Y248">
        <v>138110</v>
      </c>
      <c r="Z248">
        <v>91525</v>
      </c>
      <c r="AB248">
        <v>46585</v>
      </c>
      <c r="AC248">
        <v>77522</v>
      </c>
    </row>
    <row r="249" spans="1:29" x14ac:dyDescent="0.3">
      <c r="A249" t="s">
        <v>259</v>
      </c>
      <c r="B249" t="s">
        <v>514</v>
      </c>
      <c r="C249">
        <v>2022</v>
      </c>
      <c r="D249" s="2">
        <v>136652</v>
      </c>
      <c r="E249" s="2">
        <v>58364</v>
      </c>
      <c r="F249" s="2">
        <v>78288</v>
      </c>
      <c r="G249" s="2">
        <v>197121</v>
      </c>
      <c r="H249" s="2">
        <v>99878</v>
      </c>
      <c r="I249" s="2">
        <v>97243</v>
      </c>
      <c r="J249" s="2">
        <v>82478</v>
      </c>
      <c r="K249" s="2">
        <v>18607851</v>
      </c>
      <c r="L249" s="2">
        <v>10537165</v>
      </c>
      <c r="M249" s="2">
        <f t="shared" si="21"/>
        <v>27330.400000000001</v>
      </c>
      <c r="N249" s="2">
        <f t="shared" si="22"/>
        <v>15657.6</v>
      </c>
      <c r="O249" s="7">
        <f t="shared" si="18"/>
        <v>0.41841305594026007</v>
      </c>
      <c r="P249" s="9">
        <f t="shared" si="23"/>
        <v>56.627522436631715</v>
      </c>
      <c r="Q249" s="7">
        <f t="shared" si="19"/>
        <v>0.50668371203474005</v>
      </c>
      <c r="R249" s="9">
        <f t="shared" si="20"/>
        <v>4.2072563887146346E-3</v>
      </c>
      <c r="V249">
        <v>76017</v>
      </c>
      <c r="W249">
        <v>20667</v>
      </c>
      <c r="Y249">
        <v>52868</v>
      </c>
      <c r="Z249">
        <v>8442</v>
      </c>
      <c r="AB249">
        <v>44426</v>
      </c>
      <c r="AC249">
        <v>-11336</v>
      </c>
    </row>
    <row r="250" spans="1:29" x14ac:dyDescent="0.3">
      <c r="A250" t="s">
        <v>260</v>
      </c>
      <c r="B250" t="s">
        <v>514</v>
      </c>
      <c r="C250">
        <v>2022</v>
      </c>
      <c r="D250" s="2">
        <v>138397</v>
      </c>
      <c r="E250" s="2">
        <v>59153</v>
      </c>
      <c r="F250" s="2">
        <v>79244</v>
      </c>
      <c r="G250" s="2">
        <v>132386</v>
      </c>
      <c r="H250" s="2">
        <v>41916</v>
      </c>
      <c r="I250" s="2">
        <v>90470</v>
      </c>
      <c r="J250" s="2">
        <v>76273</v>
      </c>
      <c r="K250" s="2">
        <v>5388076</v>
      </c>
      <c r="L250" s="2">
        <v>7884797</v>
      </c>
      <c r="M250" s="2">
        <f t="shared" si="21"/>
        <v>27679.4</v>
      </c>
      <c r="N250" s="2">
        <f t="shared" si="22"/>
        <v>15848.8</v>
      </c>
      <c r="O250" s="7">
        <f t="shared" si="18"/>
        <v>0.57614098167479944</v>
      </c>
      <c r="P250" s="9">
        <f t="shared" si="23"/>
        <v>146.33789501113199</v>
      </c>
      <c r="Q250" s="7">
        <f t="shared" si="19"/>
        <v>0.31661958213104102</v>
      </c>
      <c r="R250" s="9">
        <f t="shared" si="20"/>
        <v>1.470729069151957E-2</v>
      </c>
      <c r="V250">
        <v>136652</v>
      </c>
      <c r="W250">
        <v>78288</v>
      </c>
      <c r="Y250">
        <v>197121</v>
      </c>
      <c r="Z250">
        <v>97243</v>
      </c>
      <c r="AB250">
        <v>99878</v>
      </c>
      <c r="AC250">
        <v>82478</v>
      </c>
    </row>
    <row r="251" spans="1:29" x14ac:dyDescent="0.3">
      <c r="A251" t="s">
        <v>261</v>
      </c>
      <c r="B251" t="s">
        <v>514</v>
      </c>
      <c r="C251">
        <v>2022</v>
      </c>
      <c r="D251" s="2">
        <v>146059</v>
      </c>
      <c r="E251" s="2">
        <v>45046</v>
      </c>
      <c r="F251" s="2">
        <v>101013</v>
      </c>
      <c r="G251" s="2">
        <v>168077</v>
      </c>
      <c r="H251" s="2">
        <v>84350</v>
      </c>
      <c r="I251" s="2">
        <v>83727</v>
      </c>
      <c r="J251" s="2">
        <v>68602</v>
      </c>
      <c r="K251" s="2">
        <v>6960826</v>
      </c>
      <c r="L251" s="2">
        <v>5844664</v>
      </c>
      <c r="M251" s="2">
        <f t="shared" si="21"/>
        <v>29211.8</v>
      </c>
      <c r="N251" s="2">
        <f t="shared" si="22"/>
        <v>20202.599999999999</v>
      </c>
      <c r="O251" s="7">
        <f t="shared" si="18"/>
        <v>0.40815816560267021</v>
      </c>
      <c r="P251" s="9">
        <f t="shared" si="23"/>
        <v>83.965092648487399</v>
      </c>
      <c r="Q251" s="7">
        <f t="shared" si="19"/>
        <v>0.50185331722960314</v>
      </c>
      <c r="R251" s="9">
        <f t="shared" si="20"/>
        <v>1.4511639854235691E-2</v>
      </c>
      <c r="V251">
        <v>138397</v>
      </c>
      <c r="W251">
        <v>79244</v>
      </c>
      <c r="Y251">
        <v>132386</v>
      </c>
      <c r="Z251">
        <v>90470</v>
      </c>
      <c r="AB251">
        <v>41916</v>
      </c>
      <c r="AC251">
        <v>76273</v>
      </c>
    </row>
    <row r="252" spans="1:29" x14ac:dyDescent="0.3">
      <c r="A252" t="s">
        <v>262</v>
      </c>
      <c r="B252" t="s">
        <v>514</v>
      </c>
      <c r="C252">
        <v>2022</v>
      </c>
      <c r="D252" s="2">
        <v>117649</v>
      </c>
      <c r="E252" s="2">
        <v>74674</v>
      </c>
      <c r="F252" s="2">
        <v>42975</v>
      </c>
      <c r="G252" s="2">
        <v>76735</v>
      </c>
      <c r="H252" s="2">
        <v>36927</v>
      </c>
      <c r="I252" s="2">
        <v>39808</v>
      </c>
      <c r="J252" s="2">
        <v>25220</v>
      </c>
      <c r="K252" s="2">
        <v>16393942</v>
      </c>
      <c r="L252" s="2">
        <v>5854190</v>
      </c>
      <c r="M252" s="2">
        <f t="shared" si="21"/>
        <v>23529.8</v>
      </c>
      <c r="N252" s="2">
        <f t="shared" si="22"/>
        <v>8595</v>
      </c>
      <c r="O252" s="7">
        <f t="shared" si="18"/>
        <v>0.32866358245911254</v>
      </c>
      <c r="P252" s="9">
        <f t="shared" si="23"/>
        <v>35.709471218087756</v>
      </c>
      <c r="Q252" s="7">
        <f t="shared" si="19"/>
        <v>0.48122760148563237</v>
      </c>
      <c r="R252" s="9">
        <f t="shared" si="20"/>
        <v>2.6213951470610303E-3</v>
      </c>
      <c r="V252">
        <v>146059</v>
      </c>
      <c r="W252">
        <v>101013</v>
      </c>
      <c r="Y252">
        <v>168077</v>
      </c>
      <c r="Z252">
        <v>83727</v>
      </c>
      <c r="AB252">
        <v>84350</v>
      </c>
      <c r="AC252">
        <v>68602</v>
      </c>
    </row>
    <row r="253" spans="1:29" x14ac:dyDescent="0.3">
      <c r="A253" t="s">
        <v>263</v>
      </c>
      <c r="B253" t="s">
        <v>514</v>
      </c>
      <c r="C253">
        <v>2022</v>
      </c>
      <c r="D253" s="2">
        <v>168154</v>
      </c>
      <c r="E253" s="2">
        <v>62233</v>
      </c>
      <c r="F253" s="2">
        <v>105921</v>
      </c>
      <c r="G253" s="2">
        <v>170659</v>
      </c>
      <c r="H253" s="2">
        <v>48397</v>
      </c>
      <c r="I253" s="2">
        <v>122262</v>
      </c>
      <c r="J253" s="2">
        <v>103609</v>
      </c>
      <c r="K253" s="2">
        <v>16872847</v>
      </c>
      <c r="L253" s="2">
        <v>4042377</v>
      </c>
      <c r="M253" s="2">
        <f t="shared" si="21"/>
        <v>33630.800000000003</v>
      </c>
      <c r="N253" s="2">
        <f t="shared" si="22"/>
        <v>21184.2</v>
      </c>
      <c r="O253" s="7">
        <f t="shared" si="18"/>
        <v>0.60711125695099588</v>
      </c>
      <c r="P253" s="9">
        <f t="shared" si="23"/>
        <v>23.957883337648948</v>
      </c>
      <c r="Q253" s="7">
        <f t="shared" si="19"/>
        <v>0.28358891122062124</v>
      </c>
      <c r="R253" s="9">
        <f t="shared" si="20"/>
        <v>6.2776009288770295E-3</v>
      </c>
      <c r="V253">
        <v>117649</v>
      </c>
      <c r="W253">
        <v>42975</v>
      </c>
      <c r="Y253">
        <v>76735</v>
      </c>
      <c r="Z253">
        <v>39808</v>
      </c>
      <c r="AB253">
        <v>36927</v>
      </c>
      <c r="AC253">
        <v>25220</v>
      </c>
    </row>
    <row r="254" spans="1:29" x14ac:dyDescent="0.3">
      <c r="A254" t="s">
        <v>264</v>
      </c>
      <c r="B254" t="s">
        <v>514</v>
      </c>
      <c r="C254">
        <v>2022</v>
      </c>
      <c r="D254" s="2">
        <v>170585</v>
      </c>
      <c r="E254" s="2">
        <v>29816</v>
      </c>
      <c r="F254" s="2">
        <v>140769</v>
      </c>
      <c r="G254" s="2">
        <v>203009</v>
      </c>
      <c r="H254" s="2">
        <v>21276</v>
      </c>
      <c r="I254" s="2">
        <v>181733</v>
      </c>
      <c r="J254" s="2">
        <v>164098</v>
      </c>
      <c r="K254" s="2">
        <v>13361735</v>
      </c>
      <c r="L254" s="2">
        <v>13856760</v>
      </c>
      <c r="M254" s="2">
        <f t="shared" si="21"/>
        <v>34117</v>
      </c>
      <c r="N254" s="2">
        <f t="shared" si="22"/>
        <v>28153.8</v>
      </c>
      <c r="O254" s="7">
        <f t="shared" si="18"/>
        <v>0.80832869478693059</v>
      </c>
      <c r="P254" s="9">
        <f t="shared" si="23"/>
        <v>103.70479582180008</v>
      </c>
      <c r="Q254" s="7">
        <f t="shared" si="19"/>
        <v>0.10480323532454226</v>
      </c>
      <c r="R254" s="9">
        <f t="shared" si="20"/>
        <v>1.0535233635452283E-2</v>
      </c>
      <c r="V254">
        <v>168154</v>
      </c>
      <c r="W254">
        <v>105921</v>
      </c>
      <c r="Y254">
        <v>170659</v>
      </c>
      <c r="Z254">
        <v>122262</v>
      </c>
      <c r="AB254">
        <v>48397</v>
      </c>
      <c r="AC254">
        <v>103609</v>
      </c>
    </row>
    <row r="255" spans="1:29" x14ac:dyDescent="0.3">
      <c r="A255" t="s">
        <v>265</v>
      </c>
      <c r="B255" t="s">
        <v>514</v>
      </c>
      <c r="C255">
        <v>2022</v>
      </c>
      <c r="D255" s="2">
        <v>121635</v>
      </c>
      <c r="E255" s="2">
        <v>45946</v>
      </c>
      <c r="F255" s="2">
        <v>75689</v>
      </c>
      <c r="G255" s="2">
        <v>150893</v>
      </c>
      <c r="H255" s="2">
        <v>66886</v>
      </c>
      <c r="I255" s="2">
        <v>84007</v>
      </c>
      <c r="J255" s="2">
        <v>75891</v>
      </c>
      <c r="K255" s="2">
        <v>14714891</v>
      </c>
      <c r="L255" s="2">
        <v>11480932</v>
      </c>
      <c r="M255" s="2">
        <f t="shared" si="21"/>
        <v>24327</v>
      </c>
      <c r="N255" s="2">
        <f t="shared" si="22"/>
        <v>15137.8</v>
      </c>
      <c r="O255" s="7">
        <f t="shared" si="18"/>
        <v>0.50294579602764877</v>
      </c>
      <c r="P255" s="9">
        <f t="shared" si="23"/>
        <v>78.022541927085982</v>
      </c>
      <c r="Q255" s="7">
        <f t="shared" si="19"/>
        <v>0.443267746018702</v>
      </c>
      <c r="R255" s="9">
        <f t="shared" si="20"/>
        <v>5.1437010304731445E-3</v>
      </c>
      <c r="V255">
        <v>170585</v>
      </c>
      <c r="W255">
        <v>140769</v>
      </c>
      <c r="Y255">
        <v>203009</v>
      </c>
      <c r="Z255">
        <v>181733</v>
      </c>
      <c r="AB255">
        <v>21276</v>
      </c>
      <c r="AC255">
        <v>164098</v>
      </c>
    </row>
    <row r="256" spans="1:29" x14ac:dyDescent="0.3">
      <c r="A256" t="s">
        <v>266</v>
      </c>
      <c r="B256" t="s">
        <v>514</v>
      </c>
      <c r="C256">
        <v>2022</v>
      </c>
      <c r="D256" s="2">
        <v>59847</v>
      </c>
      <c r="E256" s="2">
        <v>36155</v>
      </c>
      <c r="F256" s="2">
        <v>23692</v>
      </c>
      <c r="G256" s="2">
        <v>123363</v>
      </c>
      <c r="H256" s="2">
        <v>98310</v>
      </c>
      <c r="I256" s="2">
        <v>25053</v>
      </c>
      <c r="J256" s="2">
        <v>21311</v>
      </c>
      <c r="K256" s="2">
        <v>19829445</v>
      </c>
      <c r="L256" s="2">
        <v>14666027</v>
      </c>
      <c r="M256" s="2">
        <f t="shared" si="21"/>
        <v>11969.4</v>
      </c>
      <c r="N256" s="2">
        <f t="shared" si="22"/>
        <v>4738.3999999999996</v>
      </c>
      <c r="O256" s="7">
        <f t="shared" si="18"/>
        <v>0.17275033843210688</v>
      </c>
      <c r="P256" s="9">
        <f t="shared" si="23"/>
        <v>73.960854678484438</v>
      </c>
      <c r="Q256" s="7">
        <f t="shared" si="19"/>
        <v>0.79691641740230057</v>
      </c>
      <c r="R256" s="9">
        <f t="shared" si="20"/>
        <v>1.1947888607068931E-3</v>
      </c>
      <c r="V256">
        <v>121635</v>
      </c>
      <c r="W256">
        <v>75689</v>
      </c>
      <c r="Y256">
        <v>150893</v>
      </c>
      <c r="Z256">
        <v>84007</v>
      </c>
      <c r="AB256">
        <v>66886</v>
      </c>
      <c r="AC256">
        <v>75891</v>
      </c>
    </row>
    <row r="257" spans="1:29" x14ac:dyDescent="0.3">
      <c r="A257" t="s">
        <v>267</v>
      </c>
      <c r="B257" t="s">
        <v>514</v>
      </c>
      <c r="C257">
        <v>2022</v>
      </c>
      <c r="D257" s="2">
        <v>84707</v>
      </c>
      <c r="E257" s="2">
        <v>30337</v>
      </c>
      <c r="F257" s="2">
        <v>54370</v>
      </c>
      <c r="G257" s="2">
        <v>155907</v>
      </c>
      <c r="H257" s="2">
        <v>81504</v>
      </c>
      <c r="I257" s="2">
        <v>74403</v>
      </c>
      <c r="J257" s="2">
        <v>57557</v>
      </c>
      <c r="K257" s="2">
        <v>7843940</v>
      </c>
      <c r="L257" s="2">
        <v>6932441</v>
      </c>
      <c r="M257" s="2">
        <f t="shared" si="21"/>
        <v>16941.400000000001</v>
      </c>
      <c r="N257" s="2">
        <f t="shared" si="22"/>
        <v>10874</v>
      </c>
      <c r="O257" s="7">
        <f t="shared" si="18"/>
        <v>0.36917521342851828</v>
      </c>
      <c r="P257" s="9">
        <f t="shared" si="23"/>
        <v>88.379577100283797</v>
      </c>
      <c r="Q257" s="7">
        <f t="shared" si="19"/>
        <v>0.52277319171044279</v>
      </c>
      <c r="R257" s="9">
        <f t="shared" si="20"/>
        <v>6.9314655644994736E-3</v>
      </c>
      <c r="V257">
        <v>59847</v>
      </c>
      <c r="W257">
        <v>23692</v>
      </c>
      <c r="Y257">
        <v>123363</v>
      </c>
      <c r="Z257">
        <v>25053</v>
      </c>
      <c r="AB257">
        <v>98310</v>
      </c>
      <c r="AC257">
        <v>21311</v>
      </c>
    </row>
    <row r="258" spans="1:29" x14ac:dyDescent="0.3">
      <c r="A258" t="s">
        <v>268</v>
      </c>
      <c r="B258" t="s">
        <v>514</v>
      </c>
      <c r="C258">
        <v>2022</v>
      </c>
      <c r="D258" s="2">
        <v>182130</v>
      </c>
      <c r="E258" s="2">
        <v>38404</v>
      </c>
      <c r="F258" s="2">
        <v>143726</v>
      </c>
      <c r="G258" s="2">
        <v>193582</v>
      </c>
      <c r="H258" s="2">
        <v>24200</v>
      </c>
      <c r="I258" s="2">
        <v>169382</v>
      </c>
      <c r="J258" s="2">
        <v>166153</v>
      </c>
      <c r="K258" s="2">
        <v>8040267</v>
      </c>
      <c r="L258" s="2">
        <v>12685684</v>
      </c>
      <c r="M258" s="2">
        <f t="shared" si="21"/>
        <v>36426</v>
      </c>
      <c r="N258" s="2">
        <f t="shared" si="22"/>
        <v>28745.200000000001</v>
      </c>
      <c r="O258" s="7">
        <f t="shared" ref="O258:O321" si="24">J258/G258</f>
        <v>0.85830810715872341</v>
      </c>
      <c r="P258" s="9">
        <f t="shared" si="23"/>
        <v>157.77689969748516</v>
      </c>
      <c r="Q258" s="7">
        <f t="shared" ref="Q258:Q321" si="25">H258/G258</f>
        <v>0.12501162298147556</v>
      </c>
      <c r="R258" s="9">
        <f t="shared" ref="R258:R321" si="26">F258/K258</f>
        <v>1.7875774523408241E-2</v>
      </c>
      <c r="V258">
        <v>84707</v>
      </c>
      <c r="W258">
        <v>54370</v>
      </c>
      <c r="Y258">
        <v>155907</v>
      </c>
      <c r="Z258">
        <v>74403</v>
      </c>
      <c r="AB258">
        <v>81504</v>
      </c>
      <c r="AC258">
        <v>57557</v>
      </c>
    </row>
    <row r="259" spans="1:29" x14ac:dyDescent="0.3">
      <c r="A259" t="s">
        <v>269</v>
      </c>
      <c r="B259" t="s">
        <v>514</v>
      </c>
      <c r="C259">
        <v>2022</v>
      </c>
      <c r="D259" s="2">
        <v>182311</v>
      </c>
      <c r="E259" s="2">
        <v>75661</v>
      </c>
      <c r="F259" s="2">
        <v>106650</v>
      </c>
      <c r="G259" s="2">
        <v>171922</v>
      </c>
      <c r="H259" s="2">
        <v>76212</v>
      </c>
      <c r="I259" s="2">
        <v>95710</v>
      </c>
      <c r="J259" s="2">
        <v>78312</v>
      </c>
      <c r="K259" s="2">
        <v>11935774</v>
      </c>
      <c r="L259" s="2">
        <v>4367223</v>
      </c>
      <c r="M259" s="2">
        <f t="shared" ref="M259:M322" si="27">D259/5</f>
        <v>36462.199999999997</v>
      </c>
      <c r="N259" s="2">
        <f t="shared" ref="N259:N322" si="28">F259/5</f>
        <v>21330</v>
      </c>
      <c r="O259" s="7">
        <f t="shared" si="24"/>
        <v>0.45550889356801338</v>
      </c>
      <c r="P259" s="9">
        <f t="shared" ref="P259:P322" si="29">L259/K259*100</f>
        <v>36.58935733870296</v>
      </c>
      <c r="Q259" s="7">
        <f t="shared" si="25"/>
        <v>0.44329405195379301</v>
      </c>
      <c r="R259" s="9">
        <f t="shared" si="26"/>
        <v>8.9353233397348169E-3</v>
      </c>
      <c r="V259">
        <v>182130</v>
      </c>
      <c r="W259">
        <v>143726</v>
      </c>
      <c r="Y259">
        <v>193582</v>
      </c>
      <c r="Z259">
        <v>169382</v>
      </c>
      <c r="AB259">
        <v>24200</v>
      </c>
      <c r="AC259">
        <v>166153</v>
      </c>
    </row>
    <row r="260" spans="1:29" x14ac:dyDescent="0.3">
      <c r="A260" t="s">
        <v>270</v>
      </c>
      <c r="B260" t="s">
        <v>514</v>
      </c>
      <c r="C260">
        <v>2022</v>
      </c>
      <c r="D260" s="2">
        <v>187710</v>
      </c>
      <c r="E260" s="2">
        <v>16570</v>
      </c>
      <c r="F260" s="2">
        <v>171140</v>
      </c>
      <c r="G260" s="2">
        <v>259925</v>
      </c>
      <c r="H260" s="2">
        <v>24110</v>
      </c>
      <c r="I260" s="2">
        <v>235815</v>
      </c>
      <c r="J260" s="2">
        <v>226220</v>
      </c>
      <c r="K260" s="2">
        <v>9273445</v>
      </c>
      <c r="L260" s="2">
        <v>6184790</v>
      </c>
      <c r="M260" s="2">
        <f t="shared" si="27"/>
        <v>37542</v>
      </c>
      <c r="N260" s="2">
        <f t="shared" si="28"/>
        <v>34228</v>
      </c>
      <c r="O260" s="7">
        <f t="shared" si="24"/>
        <v>0.87032797922477634</v>
      </c>
      <c r="P260" s="9">
        <f t="shared" si="29"/>
        <v>66.693553474463911</v>
      </c>
      <c r="Q260" s="7">
        <f t="shared" si="25"/>
        <v>9.2757526209483507E-2</v>
      </c>
      <c r="R260" s="9">
        <f t="shared" si="26"/>
        <v>1.8454846068532243E-2</v>
      </c>
      <c r="V260">
        <v>182311</v>
      </c>
      <c r="W260">
        <v>106650</v>
      </c>
      <c r="Y260">
        <v>171922</v>
      </c>
      <c r="Z260">
        <v>95710</v>
      </c>
      <c r="AB260">
        <v>76212</v>
      </c>
      <c r="AC260">
        <v>78312</v>
      </c>
    </row>
    <row r="261" spans="1:29" x14ac:dyDescent="0.3">
      <c r="A261" t="s">
        <v>271</v>
      </c>
      <c r="B261" t="s">
        <v>514</v>
      </c>
      <c r="C261">
        <v>2022</v>
      </c>
      <c r="D261" s="2">
        <v>72911</v>
      </c>
      <c r="E261" s="2">
        <v>42556</v>
      </c>
      <c r="F261" s="2">
        <v>30355</v>
      </c>
      <c r="G261" s="2">
        <v>128486</v>
      </c>
      <c r="H261" s="2">
        <v>16969</v>
      </c>
      <c r="I261" s="2">
        <v>111517</v>
      </c>
      <c r="J261" s="2">
        <v>98532</v>
      </c>
      <c r="K261" s="2">
        <v>15437499</v>
      </c>
      <c r="L261" s="2">
        <v>9689142</v>
      </c>
      <c r="M261" s="2">
        <f t="shared" si="27"/>
        <v>14582.2</v>
      </c>
      <c r="N261" s="2">
        <f t="shared" si="28"/>
        <v>6071</v>
      </c>
      <c r="O261" s="7">
        <f t="shared" si="24"/>
        <v>0.76686954220693304</v>
      </c>
      <c r="P261" s="9">
        <f t="shared" si="29"/>
        <v>62.763676940157211</v>
      </c>
      <c r="Q261" s="7">
        <f t="shared" si="25"/>
        <v>0.1320688635337702</v>
      </c>
      <c r="R261" s="9">
        <f t="shared" si="26"/>
        <v>1.966315916846375E-3</v>
      </c>
      <c r="V261">
        <v>187710</v>
      </c>
      <c r="W261">
        <v>171140</v>
      </c>
      <c r="Y261">
        <v>259925</v>
      </c>
      <c r="Z261">
        <v>235815</v>
      </c>
      <c r="AB261">
        <v>24110</v>
      </c>
      <c r="AC261">
        <v>226220</v>
      </c>
    </row>
    <row r="262" spans="1:29" x14ac:dyDescent="0.3">
      <c r="A262" t="s">
        <v>272</v>
      </c>
      <c r="B262" t="s">
        <v>514</v>
      </c>
      <c r="C262">
        <v>2023</v>
      </c>
      <c r="D262" s="2">
        <v>171863</v>
      </c>
      <c r="E262" s="2">
        <v>20225</v>
      </c>
      <c r="F262" s="2">
        <v>151638</v>
      </c>
      <c r="G262" s="2">
        <v>194834</v>
      </c>
      <c r="H262" s="2">
        <v>28669</v>
      </c>
      <c r="I262" s="2">
        <v>166165</v>
      </c>
      <c r="J262" s="2">
        <v>159553</v>
      </c>
      <c r="K262" s="2">
        <v>15348014</v>
      </c>
      <c r="L262" s="2">
        <v>8877845</v>
      </c>
      <c r="M262" s="2">
        <f t="shared" si="27"/>
        <v>34372.6</v>
      </c>
      <c r="N262" s="2">
        <f t="shared" si="28"/>
        <v>30327.599999999999</v>
      </c>
      <c r="O262" s="7">
        <f t="shared" si="24"/>
        <v>0.81891764271123113</v>
      </c>
      <c r="P262" s="9">
        <f t="shared" si="29"/>
        <v>57.843607648520525</v>
      </c>
      <c r="Q262" s="7">
        <f t="shared" si="25"/>
        <v>0.1471457753780141</v>
      </c>
      <c r="R262" s="9">
        <f t="shared" si="26"/>
        <v>9.8799753505567564E-3</v>
      </c>
      <c r="V262">
        <v>72911</v>
      </c>
      <c r="W262">
        <v>30355</v>
      </c>
      <c r="Y262">
        <v>128486</v>
      </c>
      <c r="Z262">
        <v>111517</v>
      </c>
      <c r="AB262">
        <v>16969</v>
      </c>
      <c r="AC262">
        <v>98532</v>
      </c>
    </row>
    <row r="263" spans="1:29" x14ac:dyDescent="0.3">
      <c r="A263" t="s">
        <v>273</v>
      </c>
      <c r="B263" t="s">
        <v>514</v>
      </c>
      <c r="C263">
        <v>2023</v>
      </c>
      <c r="D263" s="2">
        <v>98320</v>
      </c>
      <c r="E263" s="2">
        <v>57414</v>
      </c>
      <c r="F263" s="2">
        <v>40906</v>
      </c>
      <c r="G263" s="2">
        <v>76483</v>
      </c>
      <c r="H263" s="2">
        <v>70409</v>
      </c>
      <c r="I263" s="2">
        <v>6074</v>
      </c>
      <c r="J263" s="2">
        <v>-11430</v>
      </c>
      <c r="K263" s="2">
        <v>16820569</v>
      </c>
      <c r="L263" s="2">
        <v>10376519</v>
      </c>
      <c r="M263" s="2">
        <f t="shared" si="27"/>
        <v>19664</v>
      </c>
      <c r="N263" s="2">
        <f t="shared" si="28"/>
        <v>8181.2</v>
      </c>
      <c r="O263" s="7">
        <f t="shared" si="24"/>
        <v>-0.14944497470026019</v>
      </c>
      <c r="P263" s="9">
        <f t="shared" si="29"/>
        <v>61.689464845095308</v>
      </c>
      <c r="Q263" s="7">
        <f t="shared" si="25"/>
        <v>0.92058365911379003</v>
      </c>
      <c r="R263" s="9">
        <f t="shared" si="26"/>
        <v>2.4319034629565741E-3</v>
      </c>
      <c r="V263">
        <v>171863</v>
      </c>
      <c r="W263">
        <v>151638</v>
      </c>
      <c r="Y263">
        <v>194834</v>
      </c>
      <c r="Z263">
        <v>166165</v>
      </c>
      <c r="AB263">
        <v>28669</v>
      </c>
      <c r="AC263">
        <v>159553</v>
      </c>
    </row>
    <row r="264" spans="1:29" x14ac:dyDescent="0.3">
      <c r="A264" t="s">
        <v>274</v>
      </c>
      <c r="B264" t="s">
        <v>514</v>
      </c>
      <c r="C264">
        <v>2023</v>
      </c>
      <c r="D264" s="2">
        <v>160448</v>
      </c>
      <c r="E264" s="2">
        <v>60138</v>
      </c>
      <c r="F264" s="2">
        <v>100310</v>
      </c>
      <c r="G264" s="2">
        <v>163133</v>
      </c>
      <c r="H264" s="2">
        <v>52208</v>
      </c>
      <c r="I264" s="2">
        <v>110925</v>
      </c>
      <c r="J264" s="2">
        <v>105853</v>
      </c>
      <c r="K264" s="2">
        <v>8570834</v>
      </c>
      <c r="L264" s="2">
        <v>14319247</v>
      </c>
      <c r="M264" s="2">
        <f t="shared" si="27"/>
        <v>32089.599999999999</v>
      </c>
      <c r="N264" s="2">
        <f t="shared" si="28"/>
        <v>20062</v>
      </c>
      <c r="O264" s="7">
        <f t="shared" si="24"/>
        <v>0.64887545744883013</v>
      </c>
      <c r="P264" s="9">
        <f t="shared" si="29"/>
        <v>167.0694707189522</v>
      </c>
      <c r="Q264" s="7">
        <f t="shared" si="25"/>
        <v>0.32003334702359426</v>
      </c>
      <c r="R264" s="9">
        <f t="shared" si="26"/>
        <v>1.1703645176187055E-2</v>
      </c>
      <c r="V264">
        <v>98320</v>
      </c>
      <c r="W264">
        <v>40906</v>
      </c>
      <c r="Y264">
        <v>76483</v>
      </c>
      <c r="Z264">
        <v>6074</v>
      </c>
      <c r="AB264">
        <v>70409</v>
      </c>
      <c r="AC264">
        <v>-11430</v>
      </c>
    </row>
    <row r="265" spans="1:29" x14ac:dyDescent="0.3">
      <c r="A265" t="s">
        <v>275</v>
      </c>
      <c r="B265" t="s">
        <v>514</v>
      </c>
      <c r="C265">
        <v>2023</v>
      </c>
      <c r="D265" s="2">
        <v>69508</v>
      </c>
      <c r="E265" s="2">
        <v>52287</v>
      </c>
      <c r="F265" s="2">
        <v>17221</v>
      </c>
      <c r="G265" s="2">
        <v>116137</v>
      </c>
      <c r="H265" s="2">
        <v>41984</v>
      </c>
      <c r="I265" s="2">
        <v>74153</v>
      </c>
      <c r="J265" s="2">
        <v>60288</v>
      </c>
      <c r="K265" s="2">
        <v>8940285</v>
      </c>
      <c r="L265" s="2">
        <v>9851803</v>
      </c>
      <c r="M265" s="2">
        <f t="shared" si="27"/>
        <v>13901.6</v>
      </c>
      <c r="N265" s="2">
        <f t="shared" si="28"/>
        <v>3444.2</v>
      </c>
      <c r="O265" s="7">
        <f t="shared" si="24"/>
        <v>0.5191110498807443</v>
      </c>
      <c r="P265" s="9">
        <f t="shared" si="29"/>
        <v>110.19562575465996</v>
      </c>
      <c r="Q265" s="7">
        <f t="shared" si="25"/>
        <v>0.36150408569189835</v>
      </c>
      <c r="R265" s="9">
        <f t="shared" si="26"/>
        <v>1.9262249469675743E-3</v>
      </c>
      <c r="V265">
        <v>160448</v>
      </c>
      <c r="W265">
        <v>100310</v>
      </c>
      <c r="Y265">
        <v>163133</v>
      </c>
      <c r="Z265">
        <v>110925</v>
      </c>
      <c r="AB265">
        <v>52208</v>
      </c>
      <c r="AC265">
        <v>105853</v>
      </c>
    </row>
    <row r="266" spans="1:29" x14ac:dyDescent="0.3">
      <c r="A266" t="s">
        <v>276</v>
      </c>
      <c r="B266" t="s">
        <v>514</v>
      </c>
      <c r="C266">
        <v>2023</v>
      </c>
      <c r="D266" s="2">
        <v>153409</v>
      </c>
      <c r="E266" s="2">
        <v>27087</v>
      </c>
      <c r="F266" s="2">
        <v>126322</v>
      </c>
      <c r="G266" s="2">
        <v>152026</v>
      </c>
      <c r="H266" s="2">
        <v>75576</v>
      </c>
      <c r="I266" s="2">
        <v>76450</v>
      </c>
      <c r="J266" s="2">
        <v>66602</v>
      </c>
      <c r="K266" s="2">
        <v>9936792</v>
      </c>
      <c r="L266" s="2">
        <v>13427148</v>
      </c>
      <c r="M266" s="2">
        <f t="shared" si="27"/>
        <v>30681.8</v>
      </c>
      <c r="N266" s="2">
        <f t="shared" si="28"/>
        <v>25264.400000000001</v>
      </c>
      <c r="O266" s="7">
        <f t="shared" si="24"/>
        <v>0.43809611513820007</v>
      </c>
      <c r="P266" s="9">
        <f t="shared" si="29"/>
        <v>135.12558177729795</v>
      </c>
      <c r="Q266" s="7">
        <f t="shared" si="25"/>
        <v>0.49712549169221054</v>
      </c>
      <c r="R266" s="9">
        <f t="shared" si="26"/>
        <v>1.2712553508214723E-2</v>
      </c>
      <c r="V266">
        <v>69508</v>
      </c>
      <c r="W266">
        <v>17221</v>
      </c>
      <c r="Y266">
        <v>116137</v>
      </c>
      <c r="Z266">
        <v>74153</v>
      </c>
      <c r="AB266">
        <v>41984</v>
      </c>
      <c r="AC266">
        <v>60288</v>
      </c>
    </row>
    <row r="267" spans="1:29" x14ac:dyDescent="0.3">
      <c r="A267" t="s">
        <v>277</v>
      </c>
      <c r="B267" t="s">
        <v>514</v>
      </c>
      <c r="C267">
        <v>2023</v>
      </c>
      <c r="D267" s="2">
        <v>168516</v>
      </c>
      <c r="E267" s="2">
        <v>76024</v>
      </c>
      <c r="F267" s="2">
        <v>92492</v>
      </c>
      <c r="G267" s="2">
        <v>152374</v>
      </c>
      <c r="H267" s="2">
        <v>40923</v>
      </c>
      <c r="I267" s="2">
        <v>111451</v>
      </c>
      <c r="J267" s="2">
        <v>93711</v>
      </c>
      <c r="K267" s="2">
        <v>19912613</v>
      </c>
      <c r="L267" s="2">
        <v>5887698</v>
      </c>
      <c r="M267" s="2">
        <f t="shared" si="27"/>
        <v>33703.199999999997</v>
      </c>
      <c r="N267" s="2">
        <f t="shared" si="28"/>
        <v>18498.400000000001</v>
      </c>
      <c r="O267" s="7">
        <f t="shared" si="24"/>
        <v>0.61500649717143341</v>
      </c>
      <c r="P267" s="9">
        <f t="shared" si="29"/>
        <v>29.567681549377774</v>
      </c>
      <c r="Q267" s="7">
        <f t="shared" si="25"/>
        <v>0.26856944098074476</v>
      </c>
      <c r="R267" s="9">
        <f t="shared" si="26"/>
        <v>4.6448951727229371E-3</v>
      </c>
      <c r="V267">
        <v>153409</v>
      </c>
      <c r="W267">
        <v>126322</v>
      </c>
      <c r="Y267">
        <v>152026</v>
      </c>
      <c r="Z267">
        <v>76450</v>
      </c>
      <c r="AB267">
        <v>75576</v>
      </c>
      <c r="AC267">
        <v>66602</v>
      </c>
    </row>
    <row r="268" spans="1:29" x14ac:dyDescent="0.3">
      <c r="A268" t="s">
        <v>278</v>
      </c>
      <c r="B268" t="s">
        <v>514</v>
      </c>
      <c r="C268">
        <v>2023</v>
      </c>
      <c r="D268" s="2">
        <v>86321</v>
      </c>
      <c r="E268" s="2">
        <v>35426</v>
      </c>
      <c r="F268" s="2">
        <v>50895</v>
      </c>
      <c r="G268" s="2">
        <v>88667</v>
      </c>
      <c r="H268" s="2">
        <v>18712</v>
      </c>
      <c r="I268" s="2">
        <v>69955</v>
      </c>
      <c r="J268" s="2">
        <v>66588</v>
      </c>
      <c r="K268" s="2">
        <v>11529845</v>
      </c>
      <c r="L268" s="2">
        <v>5736582</v>
      </c>
      <c r="M268" s="2">
        <f t="shared" si="27"/>
        <v>17264.2</v>
      </c>
      <c r="N268" s="2">
        <f t="shared" si="28"/>
        <v>10179</v>
      </c>
      <c r="O268" s="7">
        <f t="shared" si="24"/>
        <v>0.75098965793361683</v>
      </c>
      <c r="P268" s="9">
        <f t="shared" si="29"/>
        <v>49.754198777173499</v>
      </c>
      <c r="Q268" s="7">
        <f t="shared" si="25"/>
        <v>0.21103680061353153</v>
      </c>
      <c r="R268" s="9">
        <f t="shared" si="26"/>
        <v>4.4141963747127561E-3</v>
      </c>
      <c r="V268">
        <v>168516</v>
      </c>
      <c r="W268">
        <v>92492</v>
      </c>
      <c r="Y268">
        <v>152374</v>
      </c>
      <c r="Z268">
        <v>111451</v>
      </c>
      <c r="AB268">
        <v>40923</v>
      </c>
      <c r="AC268">
        <v>93711</v>
      </c>
    </row>
    <row r="269" spans="1:29" x14ac:dyDescent="0.3">
      <c r="A269" t="s">
        <v>279</v>
      </c>
      <c r="B269" t="s">
        <v>514</v>
      </c>
      <c r="C269">
        <v>2023</v>
      </c>
      <c r="D269" s="2">
        <v>141736</v>
      </c>
      <c r="E269" s="2">
        <v>61924</v>
      </c>
      <c r="F269" s="2">
        <v>79812</v>
      </c>
      <c r="G269" s="2">
        <v>103538</v>
      </c>
      <c r="H269" s="2">
        <v>42723</v>
      </c>
      <c r="I269" s="2">
        <v>60815</v>
      </c>
      <c r="J269" s="2">
        <v>54009</v>
      </c>
      <c r="K269" s="2">
        <v>9032654</v>
      </c>
      <c r="L269" s="2">
        <v>3664468</v>
      </c>
      <c r="M269" s="2">
        <f t="shared" si="27"/>
        <v>28347.200000000001</v>
      </c>
      <c r="N269" s="2">
        <f t="shared" si="28"/>
        <v>15962.4</v>
      </c>
      <c r="O269" s="7">
        <f t="shared" si="24"/>
        <v>0.52163456895053029</v>
      </c>
      <c r="P269" s="9">
        <f t="shared" si="29"/>
        <v>40.56911733804926</v>
      </c>
      <c r="Q269" s="7">
        <f t="shared" si="25"/>
        <v>0.41263111128281404</v>
      </c>
      <c r="R269" s="9">
        <f t="shared" si="26"/>
        <v>8.8359412416328578E-3</v>
      </c>
      <c r="V269">
        <v>86321</v>
      </c>
      <c r="W269">
        <v>50895</v>
      </c>
      <c r="Y269">
        <v>88667</v>
      </c>
      <c r="Z269">
        <v>69955</v>
      </c>
      <c r="AB269">
        <v>18712</v>
      </c>
      <c r="AC269">
        <v>66588</v>
      </c>
    </row>
    <row r="270" spans="1:29" x14ac:dyDescent="0.3">
      <c r="A270" t="s">
        <v>280</v>
      </c>
      <c r="B270" t="s">
        <v>514</v>
      </c>
      <c r="C270">
        <v>2023</v>
      </c>
      <c r="D270" s="2">
        <v>85643</v>
      </c>
      <c r="E270" s="2">
        <v>41324</v>
      </c>
      <c r="F270" s="2">
        <v>44319</v>
      </c>
      <c r="G270" s="2">
        <v>147679</v>
      </c>
      <c r="H270" s="2">
        <v>23927</v>
      </c>
      <c r="I270" s="2">
        <v>123752</v>
      </c>
      <c r="J270" s="2">
        <v>107315</v>
      </c>
      <c r="K270" s="2">
        <v>17384217</v>
      </c>
      <c r="L270" s="2">
        <v>7828426</v>
      </c>
      <c r="M270" s="2">
        <f t="shared" si="27"/>
        <v>17128.599999999999</v>
      </c>
      <c r="N270" s="2">
        <f t="shared" si="28"/>
        <v>8863.7999999999993</v>
      </c>
      <c r="O270" s="7">
        <f t="shared" si="24"/>
        <v>0.72667745583325993</v>
      </c>
      <c r="P270" s="9">
        <f t="shared" si="29"/>
        <v>45.031800972111654</v>
      </c>
      <c r="Q270" s="7">
        <f t="shared" si="25"/>
        <v>0.16202032787329276</v>
      </c>
      <c r="R270" s="9">
        <f t="shared" si="26"/>
        <v>2.5493814302939271E-3</v>
      </c>
      <c r="V270">
        <v>141736</v>
      </c>
      <c r="W270">
        <v>79812</v>
      </c>
      <c r="Y270">
        <v>103538</v>
      </c>
      <c r="Z270">
        <v>60815</v>
      </c>
      <c r="AB270">
        <v>42723</v>
      </c>
      <c r="AC270">
        <v>54009</v>
      </c>
    </row>
    <row r="271" spans="1:29" x14ac:dyDescent="0.3">
      <c r="A271" t="s">
        <v>281</v>
      </c>
      <c r="B271" t="s">
        <v>514</v>
      </c>
      <c r="C271">
        <v>2023</v>
      </c>
      <c r="D271" s="2">
        <v>75537</v>
      </c>
      <c r="E271" s="2">
        <v>32612</v>
      </c>
      <c r="F271" s="2">
        <v>42925</v>
      </c>
      <c r="G271" s="2">
        <v>156902</v>
      </c>
      <c r="H271" s="2">
        <v>21471</v>
      </c>
      <c r="I271" s="2">
        <v>135431</v>
      </c>
      <c r="J271" s="2">
        <v>130568</v>
      </c>
      <c r="K271" s="2">
        <v>19677441</v>
      </c>
      <c r="L271" s="2">
        <v>14250117</v>
      </c>
      <c r="M271" s="2">
        <f t="shared" si="27"/>
        <v>15107.4</v>
      </c>
      <c r="N271" s="2">
        <f t="shared" si="28"/>
        <v>8585</v>
      </c>
      <c r="O271" s="7">
        <f t="shared" si="24"/>
        <v>0.83216275127149431</v>
      </c>
      <c r="P271" s="9">
        <f t="shared" si="29"/>
        <v>72.4185477166467</v>
      </c>
      <c r="Q271" s="7">
        <f t="shared" si="25"/>
        <v>0.13684337994416898</v>
      </c>
      <c r="R271" s="9">
        <f t="shared" si="26"/>
        <v>2.1814320266542787E-3</v>
      </c>
      <c r="V271">
        <v>85643</v>
      </c>
      <c r="W271">
        <v>44319</v>
      </c>
      <c r="Y271">
        <v>147679</v>
      </c>
      <c r="Z271">
        <v>123752</v>
      </c>
      <c r="AB271">
        <v>23927</v>
      </c>
      <c r="AC271">
        <v>107315</v>
      </c>
    </row>
    <row r="272" spans="1:29" x14ac:dyDescent="0.3">
      <c r="A272" t="s">
        <v>282</v>
      </c>
      <c r="B272" t="s">
        <v>514</v>
      </c>
      <c r="C272">
        <v>2023</v>
      </c>
      <c r="D272" s="2">
        <v>81348</v>
      </c>
      <c r="E272" s="2">
        <v>74732</v>
      </c>
      <c r="F272" s="2">
        <v>6616</v>
      </c>
      <c r="G272" s="2">
        <v>27793</v>
      </c>
      <c r="H272" s="2">
        <v>19760</v>
      </c>
      <c r="I272" s="2">
        <v>8033</v>
      </c>
      <c r="J272" s="2">
        <v>6022</v>
      </c>
      <c r="K272" s="2">
        <v>7380932</v>
      </c>
      <c r="L272" s="2">
        <v>4654753</v>
      </c>
      <c r="M272" s="2">
        <f t="shared" si="27"/>
        <v>16269.6</v>
      </c>
      <c r="N272" s="2">
        <f t="shared" si="28"/>
        <v>1323.2</v>
      </c>
      <c r="O272" s="7">
        <f t="shared" si="24"/>
        <v>0.21667326305184759</v>
      </c>
      <c r="P272" s="9">
        <f t="shared" si="29"/>
        <v>63.064569623456769</v>
      </c>
      <c r="Q272" s="7">
        <f t="shared" si="25"/>
        <v>0.71097038822725145</v>
      </c>
      <c r="R272" s="9">
        <f t="shared" si="26"/>
        <v>8.9636376544317169E-4</v>
      </c>
      <c r="V272">
        <v>75537</v>
      </c>
      <c r="W272">
        <v>42925</v>
      </c>
      <c r="Y272">
        <v>156902</v>
      </c>
      <c r="Z272">
        <v>135431</v>
      </c>
      <c r="AB272">
        <v>21471</v>
      </c>
      <c r="AC272">
        <v>130568</v>
      </c>
    </row>
    <row r="273" spans="1:29" x14ac:dyDescent="0.3">
      <c r="A273" t="s">
        <v>283</v>
      </c>
      <c r="B273" t="s">
        <v>514</v>
      </c>
      <c r="C273">
        <v>2023</v>
      </c>
      <c r="D273" s="2">
        <v>103551</v>
      </c>
      <c r="E273" s="2">
        <v>21556</v>
      </c>
      <c r="F273" s="2">
        <v>81995</v>
      </c>
      <c r="G273" s="2">
        <v>129593</v>
      </c>
      <c r="H273" s="2">
        <v>26563</v>
      </c>
      <c r="I273" s="2">
        <v>103030</v>
      </c>
      <c r="J273" s="2">
        <v>86979</v>
      </c>
      <c r="K273" s="2">
        <v>15464014</v>
      </c>
      <c r="L273" s="2">
        <v>13905942</v>
      </c>
      <c r="M273" s="2">
        <f t="shared" si="27"/>
        <v>20710.2</v>
      </c>
      <c r="N273" s="2">
        <f t="shared" si="28"/>
        <v>16399</v>
      </c>
      <c r="O273" s="7">
        <f t="shared" si="24"/>
        <v>0.67117051075289558</v>
      </c>
      <c r="P273" s="9">
        <f t="shared" si="29"/>
        <v>89.924530590828482</v>
      </c>
      <c r="Q273" s="7">
        <f t="shared" si="25"/>
        <v>0.20497249079811408</v>
      </c>
      <c r="R273" s="9">
        <f t="shared" si="26"/>
        <v>5.3023102539870954E-3</v>
      </c>
      <c r="V273">
        <v>81348</v>
      </c>
      <c r="W273">
        <v>6616</v>
      </c>
      <c r="Y273">
        <v>27793</v>
      </c>
      <c r="Z273">
        <v>8033</v>
      </c>
      <c r="AB273">
        <v>19760</v>
      </c>
      <c r="AC273">
        <v>6022</v>
      </c>
    </row>
    <row r="274" spans="1:29" x14ac:dyDescent="0.3">
      <c r="A274" t="s">
        <v>284</v>
      </c>
      <c r="B274" t="s">
        <v>514</v>
      </c>
      <c r="C274">
        <v>2023</v>
      </c>
      <c r="D274" s="2">
        <v>128714</v>
      </c>
      <c r="E274" s="2">
        <v>68348</v>
      </c>
      <c r="F274" s="2">
        <v>60366</v>
      </c>
      <c r="G274" s="2">
        <v>104962</v>
      </c>
      <c r="H274" s="2">
        <v>48174</v>
      </c>
      <c r="I274" s="2">
        <v>56788</v>
      </c>
      <c r="J274" s="2">
        <v>45582</v>
      </c>
      <c r="K274" s="2">
        <v>14376079</v>
      </c>
      <c r="L274" s="2">
        <v>7156532</v>
      </c>
      <c r="M274" s="2">
        <f t="shared" si="27"/>
        <v>25742.799999999999</v>
      </c>
      <c r="N274" s="2">
        <f t="shared" si="28"/>
        <v>12073.2</v>
      </c>
      <c r="O274" s="7">
        <f t="shared" si="24"/>
        <v>0.43427145062022449</v>
      </c>
      <c r="P274" s="9">
        <f t="shared" si="29"/>
        <v>49.780833842106738</v>
      </c>
      <c r="Q274" s="7">
        <f t="shared" si="25"/>
        <v>0.45896610201787313</v>
      </c>
      <c r="R274" s="9">
        <f t="shared" si="26"/>
        <v>4.1990587280439961E-3</v>
      </c>
      <c r="V274">
        <v>103551</v>
      </c>
      <c r="W274">
        <v>81995</v>
      </c>
      <c r="Y274">
        <v>129593</v>
      </c>
      <c r="Z274">
        <v>103030</v>
      </c>
      <c r="AB274">
        <v>26563</v>
      </c>
      <c r="AC274">
        <v>86979</v>
      </c>
    </row>
    <row r="275" spans="1:29" x14ac:dyDescent="0.3">
      <c r="A275" t="s">
        <v>285</v>
      </c>
      <c r="B275" t="s">
        <v>514</v>
      </c>
      <c r="C275">
        <v>2023</v>
      </c>
      <c r="D275" s="2">
        <v>137163</v>
      </c>
      <c r="E275" s="2">
        <v>49310</v>
      </c>
      <c r="F275" s="2">
        <v>87853</v>
      </c>
      <c r="G275" s="2">
        <v>163941</v>
      </c>
      <c r="H275" s="2">
        <v>23906</v>
      </c>
      <c r="I275" s="2">
        <v>140035</v>
      </c>
      <c r="J275" s="2">
        <v>133889</v>
      </c>
      <c r="K275" s="2">
        <v>12188238</v>
      </c>
      <c r="L275" s="2">
        <v>10909699</v>
      </c>
      <c r="M275" s="2">
        <f t="shared" si="27"/>
        <v>27432.6</v>
      </c>
      <c r="N275" s="2">
        <f t="shared" si="28"/>
        <v>17570.599999999999</v>
      </c>
      <c r="O275" s="7">
        <f t="shared" si="24"/>
        <v>0.81669015072495588</v>
      </c>
      <c r="P275" s="9">
        <f t="shared" si="29"/>
        <v>89.510058796029412</v>
      </c>
      <c r="Q275" s="7">
        <f t="shared" si="25"/>
        <v>0.14582075258782123</v>
      </c>
      <c r="R275" s="9">
        <f t="shared" si="26"/>
        <v>7.2080148090314612E-3</v>
      </c>
      <c r="V275">
        <v>128714</v>
      </c>
      <c r="W275">
        <v>60366</v>
      </c>
      <c r="Y275">
        <v>104962</v>
      </c>
      <c r="Z275">
        <v>56788</v>
      </c>
      <c r="AB275">
        <v>48174</v>
      </c>
      <c r="AC275">
        <v>45582</v>
      </c>
    </row>
    <row r="276" spans="1:29" x14ac:dyDescent="0.3">
      <c r="A276" t="s">
        <v>286</v>
      </c>
      <c r="B276" t="s">
        <v>514</v>
      </c>
      <c r="C276">
        <v>2023</v>
      </c>
      <c r="D276" s="2">
        <v>96413</v>
      </c>
      <c r="E276" s="2">
        <v>16012</v>
      </c>
      <c r="F276" s="2">
        <v>80401</v>
      </c>
      <c r="G276" s="2">
        <v>150516</v>
      </c>
      <c r="H276" s="2">
        <v>22151</v>
      </c>
      <c r="I276" s="2">
        <v>128365</v>
      </c>
      <c r="J276" s="2">
        <v>122755</v>
      </c>
      <c r="K276" s="2">
        <v>14640686</v>
      </c>
      <c r="L276" s="2">
        <v>7338843</v>
      </c>
      <c r="M276" s="2">
        <f t="shared" si="27"/>
        <v>19282.599999999999</v>
      </c>
      <c r="N276" s="2">
        <f t="shared" si="28"/>
        <v>16080.2</v>
      </c>
      <c r="O276" s="7">
        <f t="shared" si="24"/>
        <v>0.81556113635759653</v>
      </c>
      <c r="P276" s="9">
        <f t="shared" si="29"/>
        <v>50.126360199242029</v>
      </c>
      <c r="Q276" s="7">
        <f t="shared" si="25"/>
        <v>0.14716707858300779</v>
      </c>
      <c r="R276" s="9">
        <f t="shared" si="26"/>
        <v>5.4916142590586258E-3</v>
      </c>
      <c r="V276">
        <v>137163</v>
      </c>
      <c r="W276">
        <v>87853</v>
      </c>
      <c r="Y276">
        <v>163941</v>
      </c>
      <c r="Z276">
        <v>140035</v>
      </c>
      <c r="AB276">
        <v>23906</v>
      </c>
      <c r="AC276">
        <v>133889</v>
      </c>
    </row>
    <row r="277" spans="1:29" x14ac:dyDescent="0.3">
      <c r="A277" t="s">
        <v>287</v>
      </c>
      <c r="B277" t="s">
        <v>514</v>
      </c>
      <c r="C277">
        <v>2023</v>
      </c>
      <c r="D277" s="2">
        <v>171999</v>
      </c>
      <c r="E277" s="2">
        <v>64691</v>
      </c>
      <c r="F277" s="2">
        <v>107308</v>
      </c>
      <c r="G277" s="2">
        <v>191465</v>
      </c>
      <c r="H277" s="2">
        <v>27289</v>
      </c>
      <c r="I277" s="2">
        <v>164176</v>
      </c>
      <c r="J277" s="2">
        <v>149968</v>
      </c>
      <c r="K277" s="2">
        <v>5698956</v>
      </c>
      <c r="L277" s="2">
        <v>6403096</v>
      </c>
      <c r="M277" s="2">
        <f t="shared" si="27"/>
        <v>34399.800000000003</v>
      </c>
      <c r="N277" s="2">
        <f t="shared" si="28"/>
        <v>21461.599999999999</v>
      </c>
      <c r="O277" s="7">
        <f t="shared" si="24"/>
        <v>0.78326587104692769</v>
      </c>
      <c r="P277" s="9">
        <f t="shared" si="29"/>
        <v>112.35559635835055</v>
      </c>
      <c r="Q277" s="7">
        <f t="shared" si="25"/>
        <v>0.14252735486903612</v>
      </c>
      <c r="R277" s="9">
        <f t="shared" si="26"/>
        <v>1.882941366804727E-2</v>
      </c>
      <c r="V277">
        <v>96413</v>
      </c>
      <c r="W277">
        <v>80401</v>
      </c>
      <c r="Y277">
        <v>150516</v>
      </c>
      <c r="Z277">
        <v>128365</v>
      </c>
      <c r="AB277">
        <v>22151</v>
      </c>
      <c r="AC277">
        <v>122755</v>
      </c>
    </row>
    <row r="278" spans="1:29" x14ac:dyDescent="0.3">
      <c r="A278" t="s">
        <v>288</v>
      </c>
      <c r="B278" t="s">
        <v>514</v>
      </c>
      <c r="C278">
        <v>2023</v>
      </c>
      <c r="D278" s="2">
        <v>136365</v>
      </c>
      <c r="E278" s="2">
        <v>54139</v>
      </c>
      <c r="F278" s="2">
        <v>82226</v>
      </c>
      <c r="G278" s="2">
        <v>150939</v>
      </c>
      <c r="H278" s="2">
        <v>44734</v>
      </c>
      <c r="I278" s="2">
        <v>106205</v>
      </c>
      <c r="J278" s="2">
        <v>97153</v>
      </c>
      <c r="K278" s="2">
        <v>9257950</v>
      </c>
      <c r="L278" s="2">
        <v>11654406</v>
      </c>
      <c r="M278" s="2">
        <f t="shared" si="27"/>
        <v>27273</v>
      </c>
      <c r="N278" s="2">
        <f t="shared" si="28"/>
        <v>16445.2</v>
      </c>
      <c r="O278" s="7">
        <f t="shared" si="24"/>
        <v>0.6436573715209456</v>
      </c>
      <c r="P278" s="9">
        <f t="shared" si="29"/>
        <v>125.88538499343807</v>
      </c>
      <c r="Q278" s="7">
        <f t="shared" si="25"/>
        <v>0.29637138181649542</v>
      </c>
      <c r="R278" s="9">
        <f t="shared" si="26"/>
        <v>8.8816638672708313E-3</v>
      </c>
      <c r="V278">
        <v>171999</v>
      </c>
      <c r="W278">
        <v>107308</v>
      </c>
      <c r="Y278">
        <v>191465</v>
      </c>
      <c r="Z278">
        <v>164176</v>
      </c>
      <c r="AB278">
        <v>27289</v>
      </c>
      <c r="AC278">
        <v>149968</v>
      </c>
    </row>
    <row r="279" spans="1:29" x14ac:dyDescent="0.3">
      <c r="A279" t="s">
        <v>289</v>
      </c>
      <c r="B279" t="s">
        <v>514</v>
      </c>
      <c r="C279">
        <v>2023</v>
      </c>
      <c r="D279" s="2">
        <v>68743</v>
      </c>
      <c r="E279" s="2">
        <v>58368</v>
      </c>
      <c r="F279" s="2">
        <v>10375</v>
      </c>
      <c r="G279" s="2">
        <v>120400</v>
      </c>
      <c r="H279" s="2">
        <v>89172</v>
      </c>
      <c r="I279" s="2">
        <v>31228</v>
      </c>
      <c r="J279" s="2">
        <v>22787</v>
      </c>
      <c r="K279" s="2">
        <v>13544291</v>
      </c>
      <c r="L279" s="2">
        <v>14392083</v>
      </c>
      <c r="M279" s="2">
        <f t="shared" si="27"/>
        <v>13748.6</v>
      </c>
      <c r="N279" s="2">
        <f t="shared" si="28"/>
        <v>2075</v>
      </c>
      <c r="O279" s="7">
        <f t="shared" si="24"/>
        <v>0.1892607973421927</v>
      </c>
      <c r="P279" s="9">
        <f t="shared" si="29"/>
        <v>106.25940479276473</v>
      </c>
      <c r="Q279" s="7">
        <f t="shared" si="25"/>
        <v>0.74063122923588043</v>
      </c>
      <c r="R279" s="9">
        <f t="shared" si="26"/>
        <v>7.6600539666491223E-4</v>
      </c>
      <c r="V279">
        <v>136365</v>
      </c>
      <c r="W279">
        <v>82226</v>
      </c>
      <c r="Y279">
        <v>150939</v>
      </c>
      <c r="Z279">
        <v>106205</v>
      </c>
      <c r="AB279">
        <v>44734</v>
      </c>
      <c r="AC279">
        <v>97153</v>
      </c>
    </row>
    <row r="280" spans="1:29" x14ac:dyDescent="0.3">
      <c r="A280" t="s">
        <v>290</v>
      </c>
      <c r="B280" t="s">
        <v>514</v>
      </c>
      <c r="C280">
        <v>2023</v>
      </c>
      <c r="D280" s="2">
        <v>157971</v>
      </c>
      <c r="E280" s="2">
        <v>22149</v>
      </c>
      <c r="F280" s="2">
        <v>135822</v>
      </c>
      <c r="G280" s="2">
        <v>215011</v>
      </c>
      <c r="H280" s="2">
        <v>36675</v>
      </c>
      <c r="I280" s="2">
        <v>178336</v>
      </c>
      <c r="J280" s="2">
        <v>170841</v>
      </c>
      <c r="K280" s="2">
        <v>18149868</v>
      </c>
      <c r="L280" s="2">
        <v>4455465</v>
      </c>
      <c r="M280" s="2">
        <f t="shared" si="27"/>
        <v>31594.2</v>
      </c>
      <c r="N280" s="2">
        <f t="shared" si="28"/>
        <v>27164.400000000001</v>
      </c>
      <c r="O280" s="7">
        <f t="shared" si="24"/>
        <v>0.7945686499760477</v>
      </c>
      <c r="P280" s="9">
        <f t="shared" si="29"/>
        <v>24.548195061253338</v>
      </c>
      <c r="Q280" s="7">
        <f t="shared" si="25"/>
        <v>0.1705726683751064</v>
      </c>
      <c r="R280" s="9">
        <f t="shared" si="26"/>
        <v>7.4833602095618545E-3</v>
      </c>
      <c r="V280">
        <v>68743</v>
      </c>
      <c r="W280">
        <v>10375</v>
      </c>
      <c r="Y280">
        <v>120400</v>
      </c>
      <c r="Z280">
        <v>31228</v>
      </c>
      <c r="AB280">
        <v>89172</v>
      </c>
      <c r="AC280">
        <v>22787</v>
      </c>
    </row>
    <row r="281" spans="1:29" x14ac:dyDescent="0.3">
      <c r="A281" t="s">
        <v>291</v>
      </c>
      <c r="B281" t="s">
        <v>514</v>
      </c>
      <c r="C281">
        <v>2023</v>
      </c>
      <c r="D281" s="2">
        <v>138204</v>
      </c>
      <c r="E281" s="2">
        <v>75429</v>
      </c>
      <c r="F281" s="2">
        <v>62775</v>
      </c>
      <c r="G281" s="2">
        <v>106444</v>
      </c>
      <c r="H281" s="2">
        <v>49068</v>
      </c>
      <c r="I281" s="2">
        <v>57376</v>
      </c>
      <c r="J281" s="2">
        <v>45941</v>
      </c>
      <c r="K281" s="2">
        <v>11516616</v>
      </c>
      <c r="L281" s="2">
        <v>6329049</v>
      </c>
      <c r="M281" s="2">
        <f t="shared" si="27"/>
        <v>27640.799999999999</v>
      </c>
      <c r="N281" s="2">
        <f t="shared" si="28"/>
        <v>12555</v>
      </c>
      <c r="O281" s="7">
        <f t="shared" si="24"/>
        <v>0.43159783548156777</v>
      </c>
      <c r="P281" s="9">
        <f t="shared" si="29"/>
        <v>54.955804725971589</v>
      </c>
      <c r="Q281" s="7">
        <f t="shared" si="25"/>
        <v>0.46097478486340238</v>
      </c>
      <c r="R281" s="9">
        <f t="shared" si="26"/>
        <v>5.4508199283539536E-3</v>
      </c>
      <c r="V281">
        <v>157971</v>
      </c>
      <c r="W281">
        <v>135822</v>
      </c>
      <c r="Y281">
        <v>215011</v>
      </c>
      <c r="Z281">
        <v>178336</v>
      </c>
      <c r="AB281">
        <v>36675</v>
      </c>
      <c r="AC281">
        <v>170841</v>
      </c>
    </row>
    <row r="282" spans="1:29" x14ac:dyDescent="0.3">
      <c r="A282" t="s">
        <v>292</v>
      </c>
      <c r="B282" t="s">
        <v>514</v>
      </c>
      <c r="C282">
        <v>2024</v>
      </c>
      <c r="D282" s="2">
        <v>87384</v>
      </c>
      <c r="E282" s="2">
        <v>41401</v>
      </c>
      <c r="F282" s="2">
        <v>45983</v>
      </c>
      <c r="G282" s="2">
        <v>137814</v>
      </c>
      <c r="H282" s="2">
        <v>49084</v>
      </c>
      <c r="I282" s="2">
        <v>88730</v>
      </c>
      <c r="J282" s="2">
        <v>74393</v>
      </c>
      <c r="K282" s="2">
        <v>11396567</v>
      </c>
      <c r="L282" s="2">
        <v>12886226</v>
      </c>
      <c r="M282" s="2">
        <f t="shared" si="27"/>
        <v>17476.8</v>
      </c>
      <c r="N282" s="2">
        <f t="shared" si="28"/>
        <v>9196.6</v>
      </c>
      <c r="O282" s="7">
        <f t="shared" si="24"/>
        <v>0.53980727647408822</v>
      </c>
      <c r="P282" s="9">
        <f t="shared" si="29"/>
        <v>113.07112045232569</v>
      </c>
      <c r="Q282" s="7">
        <f t="shared" si="25"/>
        <v>0.35616120278055929</v>
      </c>
      <c r="R282" s="9">
        <f t="shared" si="26"/>
        <v>4.034811535789681E-3</v>
      </c>
      <c r="V282">
        <v>138204</v>
      </c>
      <c r="W282">
        <v>62775</v>
      </c>
      <c r="Y282">
        <v>106444</v>
      </c>
      <c r="Z282">
        <v>57376</v>
      </c>
      <c r="AB282">
        <v>49068</v>
      </c>
      <c r="AC282">
        <v>45941</v>
      </c>
    </row>
    <row r="283" spans="1:29" x14ac:dyDescent="0.3">
      <c r="A283" t="s">
        <v>293</v>
      </c>
      <c r="B283" t="s">
        <v>514</v>
      </c>
      <c r="C283">
        <v>2024</v>
      </c>
      <c r="D283" s="2">
        <v>188299</v>
      </c>
      <c r="E283" s="2">
        <v>41910</v>
      </c>
      <c r="F283" s="2">
        <v>146389</v>
      </c>
      <c r="G283" s="2">
        <v>202430</v>
      </c>
      <c r="H283" s="2">
        <v>80681</v>
      </c>
      <c r="I283" s="2">
        <v>121749</v>
      </c>
      <c r="J283" s="2">
        <v>114739</v>
      </c>
      <c r="K283" s="2">
        <v>16878051</v>
      </c>
      <c r="L283" s="2">
        <v>8439433</v>
      </c>
      <c r="M283" s="2">
        <f t="shared" si="27"/>
        <v>37659.800000000003</v>
      </c>
      <c r="N283" s="2">
        <f t="shared" si="28"/>
        <v>29277.8</v>
      </c>
      <c r="O283" s="7">
        <f t="shared" si="24"/>
        <v>0.56680827940522649</v>
      </c>
      <c r="P283" s="9">
        <f t="shared" si="29"/>
        <v>50.002414378295221</v>
      </c>
      <c r="Q283" s="7">
        <f t="shared" si="25"/>
        <v>0.39856246603764262</v>
      </c>
      <c r="R283" s="9">
        <f t="shared" si="26"/>
        <v>8.6733355646336184E-3</v>
      </c>
      <c r="V283">
        <v>87384</v>
      </c>
      <c r="W283">
        <v>45983</v>
      </c>
      <c r="Y283">
        <v>137814</v>
      </c>
      <c r="Z283">
        <v>88730</v>
      </c>
      <c r="AB283">
        <v>49084</v>
      </c>
      <c r="AC283">
        <v>74393</v>
      </c>
    </row>
    <row r="284" spans="1:29" x14ac:dyDescent="0.3">
      <c r="A284" t="s">
        <v>294</v>
      </c>
      <c r="B284" t="s">
        <v>514</v>
      </c>
      <c r="C284">
        <v>2024</v>
      </c>
      <c r="D284" s="2">
        <v>177556</v>
      </c>
      <c r="E284" s="2">
        <v>74174</v>
      </c>
      <c r="F284" s="2">
        <v>103382</v>
      </c>
      <c r="G284" s="2">
        <v>149542</v>
      </c>
      <c r="H284" s="2">
        <v>32633</v>
      </c>
      <c r="I284" s="2">
        <v>116909</v>
      </c>
      <c r="J284" s="2">
        <v>97895</v>
      </c>
      <c r="K284" s="2">
        <v>5866964</v>
      </c>
      <c r="L284" s="2">
        <v>11437712</v>
      </c>
      <c r="M284" s="2">
        <f t="shared" si="27"/>
        <v>35511.199999999997</v>
      </c>
      <c r="N284" s="2">
        <f t="shared" si="28"/>
        <v>20676.400000000001</v>
      </c>
      <c r="O284" s="7">
        <f t="shared" si="24"/>
        <v>0.6546321434780864</v>
      </c>
      <c r="P284" s="9">
        <f t="shared" si="29"/>
        <v>194.95111952280598</v>
      </c>
      <c r="Q284" s="7">
        <f t="shared" si="25"/>
        <v>0.21821963060544863</v>
      </c>
      <c r="R284" s="9">
        <f t="shared" si="26"/>
        <v>1.7621038751899621E-2</v>
      </c>
      <c r="V284">
        <v>188299</v>
      </c>
      <c r="W284">
        <v>146389</v>
      </c>
      <c r="Y284">
        <v>202430</v>
      </c>
      <c r="Z284">
        <v>121749</v>
      </c>
      <c r="AB284">
        <v>80681</v>
      </c>
      <c r="AC284">
        <v>114739</v>
      </c>
    </row>
    <row r="285" spans="1:29" x14ac:dyDescent="0.3">
      <c r="A285" t="s">
        <v>295</v>
      </c>
      <c r="B285" t="s">
        <v>514</v>
      </c>
      <c r="C285">
        <v>2024</v>
      </c>
      <c r="D285" s="2">
        <v>127231</v>
      </c>
      <c r="E285" s="2">
        <v>78388</v>
      </c>
      <c r="F285" s="2">
        <v>48843</v>
      </c>
      <c r="G285" s="2">
        <v>84857</v>
      </c>
      <c r="H285" s="2">
        <v>48755</v>
      </c>
      <c r="I285" s="2">
        <v>36102</v>
      </c>
      <c r="J285" s="2">
        <v>26480</v>
      </c>
      <c r="K285" s="2">
        <v>10334538</v>
      </c>
      <c r="L285" s="2">
        <v>9349449</v>
      </c>
      <c r="M285" s="2">
        <f t="shared" si="27"/>
        <v>25446.2</v>
      </c>
      <c r="N285" s="2">
        <f t="shared" si="28"/>
        <v>9768.6</v>
      </c>
      <c r="O285" s="7">
        <f t="shared" si="24"/>
        <v>0.31205439739797541</v>
      </c>
      <c r="P285" s="9">
        <f t="shared" si="29"/>
        <v>90.467991892816116</v>
      </c>
      <c r="Q285" s="7">
        <f t="shared" si="25"/>
        <v>0.57455483931791129</v>
      </c>
      <c r="R285" s="9">
        <f t="shared" si="26"/>
        <v>4.7261909530934036E-3</v>
      </c>
      <c r="V285">
        <v>177556</v>
      </c>
      <c r="W285">
        <v>103382</v>
      </c>
      <c r="Y285">
        <v>149542</v>
      </c>
      <c r="Z285">
        <v>116909</v>
      </c>
      <c r="AB285">
        <v>32633</v>
      </c>
      <c r="AC285">
        <v>97895</v>
      </c>
    </row>
    <row r="286" spans="1:29" x14ac:dyDescent="0.3">
      <c r="A286" t="s">
        <v>296</v>
      </c>
      <c r="B286" t="s">
        <v>514</v>
      </c>
      <c r="C286">
        <v>2024</v>
      </c>
      <c r="D286" s="2">
        <v>57421</v>
      </c>
      <c r="E286" s="2">
        <v>27727</v>
      </c>
      <c r="F286" s="2">
        <v>29694</v>
      </c>
      <c r="G286" s="2">
        <v>54052</v>
      </c>
      <c r="H286" s="2">
        <v>80108</v>
      </c>
      <c r="I286" s="2">
        <v>-26056</v>
      </c>
      <c r="J286" s="2">
        <v>-39599</v>
      </c>
      <c r="K286" s="2">
        <v>19578363</v>
      </c>
      <c r="L286" s="2">
        <v>12881901</v>
      </c>
      <c r="M286" s="2">
        <f t="shared" si="27"/>
        <v>11484.2</v>
      </c>
      <c r="N286" s="2">
        <f t="shared" si="28"/>
        <v>5938.8</v>
      </c>
      <c r="O286" s="7">
        <f t="shared" si="24"/>
        <v>-0.73260933915488791</v>
      </c>
      <c r="P286" s="9">
        <f t="shared" si="29"/>
        <v>65.796619462005069</v>
      </c>
      <c r="Q286" s="7">
        <f t="shared" si="25"/>
        <v>1.4820543180640864</v>
      </c>
      <c r="R286" s="9">
        <f t="shared" si="26"/>
        <v>1.5166743000934245E-3</v>
      </c>
      <c r="V286">
        <v>127231</v>
      </c>
      <c r="W286">
        <v>48843</v>
      </c>
      <c r="Y286">
        <v>84857</v>
      </c>
      <c r="Z286">
        <v>36102</v>
      </c>
      <c r="AB286">
        <v>48755</v>
      </c>
      <c r="AC286">
        <v>26480</v>
      </c>
    </row>
    <row r="287" spans="1:29" x14ac:dyDescent="0.3">
      <c r="A287" t="s">
        <v>297</v>
      </c>
      <c r="B287" t="s">
        <v>514</v>
      </c>
      <c r="C287">
        <v>2024</v>
      </c>
      <c r="D287" s="2">
        <v>88467</v>
      </c>
      <c r="E287" s="2">
        <v>27625</v>
      </c>
      <c r="F287" s="2">
        <v>60842</v>
      </c>
      <c r="G287" s="2">
        <v>114735</v>
      </c>
      <c r="H287" s="2">
        <v>91329</v>
      </c>
      <c r="I287" s="2">
        <v>23406</v>
      </c>
      <c r="J287" s="2">
        <v>14642</v>
      </c>
      <c r="K287" s="2">
        <v>10559277</v>
      </c>
      <c r="L287" s="2">
        <v>6258084</v>
      </c>
      <c r="M287" s="2">
        <f t="shared" si="27"/>
        <v>17693.400000000001</v>
      </c>
      <c r="N287" s="2">
        <f t="shared" si="28"/>
        <v>12168.4</v>
      </c>
      <c r="O287" s="7">
        <f t="shared" si="24"/>
        <v>0.12761581034557895</v>
      </c>
      <c r="P287" s="9">
        <f t="shared" si="29"/>
        <v>59.266216806321111</v>
      </c>
      <c r="Q287" s="7">
        <f t="shared" si="25"/>
        <v>0.7959994770558243</v>
      </c>
      <c r="R287" s="9">
        <f t="shared" si="26"/>
        <v>5.76194752727862E-3</v>
      </c>
      <c r="V287">
        <v>57421</v>
      </c>
      <c r="W287">
        <v>29694</v>
      </c>
      <c r="Y287">
        <v>54052</v>
      </c>
      <c r="Z287">
        <v>-26056</v>
      </c>
      <c r="AB287">
        <v>80108</v>
      </c>
      <c r="AC287">
        <v>-39599</v>
      </c>
    </row>
    <row r="288" spans="1:29" x14ac:dyDescent="0.3">
      <c r="A288" t="s">
        <v>298</v>
      </c>
      <c r="B288" t="s">
        <v>514</v>
      </c>
      <c r="C288">
        <v>2024</v>
      </c>
      <c r="D288" s="2">
        <v>160944</v>
      </c>
      <c r="E288" s="2">
        <v>24210</v>
      </c>
      <c r="F288" s="2">
        <v>136734</v>
      </c>
      <c r="G288" s="2">
        <v>173190</v>
      </c>
      <c r="H288" s="2">
        <v>46367</v>
      </c>
      <c r="I288" s="2">
        <v>126823</v>
      </c>
      <c r="J288" s="2">
        <v>114717</v>
      </c>
      <c r="K288" s="2">
        <v>19748072</v>
      </c>
      <c r="L288" s="2">
        <v>7310796</v>
      </c>
      <c r="M288" s="2">
        <f t="shared" si="27"/>
        <v>32188.799999999999</v>
      </c>
      <c r="N288" s="2">
        <f t="shared" si="28"/>
        <v>27346.799999999999</v>
      </c>
      <c r="O288" s="7">
        <f t="shared" si="24"/>
        <v>0.66237658063398575</v>
      </c>
      <c r="P288" s="9">
        <f t="shared" si="29"/>
        <v>37.020302538901014</v>
      </c>
      <c r="Q288" s="7">
        <f t="shared" si="25"/>
        <v>0.26772330965991109</v>
      </c>
      <c r="R288" s="9">
        <f t="shared" si="26"/>
        <v>6.9239164208030031E-3</v>
      </c>
      <c r="V288">
        <v>160944</v>
      </c>
      <c r="W288">
        <v>136734</v>
      </c>
      <c r="Y288">
        <v>114735</v>
      </c>
      <c r="Z288">
        <v>23406</v>
      </c>
      <c r="AB288">
        <v>91329</v>
      </c>
      <c r="AC288">
        <v>14642</v>
      </c>
    </row>
    <row r="289" spans="1:29" x14ac:dyDescent="0.3">
      <c r="A289" t="s">
        <v>299</v>
      </c>
      <c r="B289" t="s">
        <v>514</v>
      </c>
      <c r="C289">
        <v>2024</v>
      </c>
      <c r="D289" s="2">
        <v>122240</v>
      </c>
      <c r="E289" s="2">
        <v>74315</v>
      </c>
      <c r="F289" s="2">
        <v>47925</v>
      </c>
      <c r="G289" s="2">
        <v>137174</v>
      </c>
      <c r="H289" s="2">
        <v>85587</v>
      </c>
      <c r="I289" s="2">
        <v>51587</v>
      </c>
      <c r="J289" s="2">
        <v>38831</v>
      </c>
      <c r="K289" s="2">
        <v>18930010</v>
      </c>
      <c r="L289" s="2">
        <v>7077716</v>
      </c>
      <c r="M289" s="2">
        <f t="shared" si="27"/>
        <v>24448</v>
      </c>
      <c r="N289" s="2">
        <f t="shared" si="28"/>
        <v>9585</v>
      </c>
      <c r="O289" s="7">
        <f t="shared" si="24"/>
        <v>0.28307842594077592</v>
      </c>
      <c r="P289" s="9">
        <f t="shared" si="29"/>
        <v>37.388865616024503</v>
      </c>
      <c r="Q289" s="7">
        <f t="shared" si="25"/>
        <v>0.6239301908524939</v>
      </c>
      <c r="R289" s="9">
        <f t="shared" si="26"/>
        <v>2.5316943836796706E-3</v>
      </c>
      <c r="V289">
        <v>122240</v>
      </c>
      <c r="W289">
        <v>47925</v>
      </c>
      <c r="Y289">
        <v>173190</v>
      </c>
      <c r="Z289">
        <v>126823</v>
      </c>
      <c r="AB289">
        <v>46367</v>
      </c>
      <c r="AC289">
        <v>114717</v>
      </c>
    </row>
    <row r="290" spans="1:29" x14ac:dyDescent="0.3">
      <c r="A290" t="s">
        <v>300</v>
      </c>
      <c r="B290" t="s">
        <v>514</v>
      </c>
      <c r="C290">
        <v>2024</v>
      </c>
      <c r="D290" s="2">
        <v>175703</v>
      </c>
      <c r="E290" s="2">
        <v>66549</v>
      </c>
      <c r="F290" s="2">
        <v>109154</v>
      </c>
      <c r="G290" s="2">
        <v>163657</v>
      </c>
      <c r="H290" s="2">
        <v>88794</v>
      </c>
      <c r="I290" s="2">
        <v>74863</v>
      </c>
      <c r="J290" s="2">
        <v>64884</v>
      </c>
      <c r="K290" s="2">
        <v>5493948</v>
      </c>
      <c r="L290" s="2">
        <v>7168962</v>
      </c>
      <c r="M290" s="2">
        <f t="shared" si="27"/>
        <v>35140.6</v>
      </c>
      <c r="N290" s="2">
        <f t="shared" si="28"/>
        <v>21830.799999999999</v>
      </c>
      <c r="O290" s="7">
        <f t="shared" si="24"/>
        <v>0.39646333490165409</v>
      </c>
      <c r="P290" s="9">
        <f t="shared" si="29"/>
        <v>130.48834826976886</v>
      </c>
      <c r="Q290" s="7">
        <f t="shared" si="25"/>
        <v>0.54256157695668383</v>
      </c>
      <c r="R290" s="9">
        <f t="shared" si="26"/>
        <v>1.9868043891205379E-2</v>
      </c>
      <c r="V290">
        <v>175703</v>
      </c>
      <c r="W290">
        <v>109154</v>
      </c>
      <c r="Y290">
        <v>137174</v>
      </c>
      <c r="Z290">
        <v>51587</v>
      </c>
      <c r="AB290">
        <v>85587</v>
      </c>
      <c r="AC290">
        <v>38831</v>
      </c>
    </row>
    <row r="291" spans="1:29" x14ac:dyDescent="0.3">
      <c r="A291" t="s">
        <v>301</v>
      </c>
      <c r="B291" t="s">
        <v>514</v>
      </c>
      <c r="C291">
        <v>2024</v>
      </c>
      <c r="D291" s="2">
        <v>124069</v>
      </c>
      <c r="E291" s="2">
        <v>15249</v>
      </c>
      <c r="F291" s="2">
        <v>108820</v>
      </c>
      <c r="G291" s="2">
        <v>148021</v>
      </c>
      <c r="H291" s="2">
        <v>73576</v>
      </c>
      <c r="I291" s="2">
        <v>74445</v>
      </c>
      <c r="J291" s="2">
        <v>62759</v>
      </c>
      <c r="K291" s="2">
        <v>6554205</v>
      </c>
      <c r="L291" s="2">
        <v>9606963</v>
      </c>
      <c r="M291" s="2">
        <f t="shared" si="27"/>
        <v>24813.8</v>
      </c>
      <c r="N291" s="2">
        <f t="shared" si="28"/>
        <v>21764</v>
      </c>
      <c r="O291" s="7">
        <f t="shared" si="24"/>
        <v>0.42398713696029616</v>
      </c>
      <c r="P291" s="9">
        <f t="shared" si="29"/>
        <v>146.57709058535704</v>
      </c>
      <c r="Q291" s="7">
        <f t="shared" si="25"/>
        <v>0.49706460569784017</v>
      </c>
      <c r="R291" s="9">
        <f t="shared" si="26"/>
        <v>1.6603081533153145E-2</v>
      </c>
      <c r="V291">
        <v>124069</v>
      </c>
      <c r="W291">
        <v>108820</v>
      </c>
      <c r="Y291">
        <v>163657</v>
      </c>
      <c r="Z291">
        <v>74863</v>
      </c>
      <c r="AB291">
        <v>88794</v>
      </c>
      <c r="AC291">
        <v>64884</v>
      </c>
    </row>
    <row r="292" spans="1:29" x14ac:dyDescent="0.3">
      <c r="A292" t="s">
        <v>302</v>
      </c>
      <c r="B292" t="s">
        <v>514</v>
      </c>
      <c r="C292">
        <v>2024</v>
      </c>
      <c r="D292" s="2">
        <v>147543</v>
      </c>
      <c r="E292" s="2">
        <v>10661</v>
      </c>
      <c r="F292" s="2">
        <v>136882</v>
      </c>
      <c r="G292" s="2">
        <v>201725</v>
      </c>
      <c r="H292" s="2">
        <v>75963</v>
      </c>
      <c r="I292" s="2">
        <v>125762</v>
      </c>
      <c r="J292" s="2">
        <v>108974</v>
      </c>
      <c r="K292" s="2">
        <v>19722892</v>
      </c>
      <c r="L292" s="2">
        <v>12223644</v>
      </c>
      <c r="M292" s="2">
        <f t="shared" si="27"/>
        <v>29508.6</v>
      </c>
      <c r="N292" s="2">
        <f t="shared" si="28"/>
        <v>27376.400000000001</v>
      </c>
      <c r="O292" s="7">
        <f t="shared" si="24"/>
        <v>0.54021068286032969</v>
      </c>
      <c r="P292" s="9">
        <f t="shared" si="29"/>
        <v>61.976935228363061</v>
      </c>
      <c r="Q292" s="7">
        <f t="shared" si="25"/>
        <v>0.37656710868756971</v>
      </c>
      <c r="R292" s="9">
        <f t="shared" si="26"/>
        <v>6.940260079505582E-3</v>
      </c>
      <c r="V292">
        <v>147543</v>
      </c>
      <c r="W292">
        <v>136882</v>
      </c>
      <c r="Y292">
        <v>148021</v>
      </c>
      <c r="Z292">
        <v>74445</v>
      </c>
      <c r="AB292">
        <v>73576</v>
      </c>
      <c r="AC292">
        <v>62759</v>
      </c>
    </row>
    <row r="293" spans="1:29" x14ac:dyDescent="0.3">
      <c r="A293" t="s">
        <v>303</v>
      </c>
      <c r="B293" t="s">
        <v>514</v>
      </c>
      <c r="C293">
        <v>2024</v>
      </c>
      <c r="D293" s="2">
        <v>60526</v>
      </c>
      <c r="E293" s="2">
        <v>78910</v>
      </c>
      <c r="F293" s="2">
        <v>-18384</v>
      </c>
      <c r="G293" s="2">
        <v>27208</v>
      </c>
      <c r="H293" s="2">
        <v>43982</v>
      </c>
      <c r="I293" s="2">
        <v>-16774</v>
      </c>
      <c r="J293" s="2">
        <v>-18981</v>
      </c>
      <c r="K293" s="2">
        <v>18863529</v>
      </c>
      <c r="L293" s="2">
        <v>6496605</v>
      </c>
      <c r="M293" s="2">
        <f t="shared" si="27"/>
        <v>12105.2</v>
      </c>
      <c r="N293" s="2">
        <f t="shared" si="28"/>
        <v>-3676.8</v>
      </c>
      <c r="O293" s="7">
        <f t="shared" si="24"/>
        <v>-0.69762569832402233</v>
      </c>
      <c r="P293" s="9">
        <f t="shared" si="29"/>
        <v>34.44002975265127</v>
      </c>
      <c r="Q293" s="7">
        <f t="shared" si="25"/>
        <v>1.6165098500441046</v>
      </c>
      <c r="R293" s="9">
        <f t="shared" si="26"/>
        <v>-9.7457904085709521E-4</v>
      </c>
      <c r="V293">
        <v>60526</v>
      </c>
      <c r="W293">
        <v>-18384</v>
      </c>
      <c r="Y293">
        <v>201725</v>
      </c>
      <c r="Z293">
        <v>125762</v>
      </c>
      <c r="AB293">
        <v>75963</v>
      </c>
      <c r="AC293">
        <v>108974</v>
      </c>
    </row>
    <row r="294" spans="1:29" x14ac:dyDescent="0.3">
      <c r="A294" t="s">
        <v>304</v>
      </c>
      <c r="B294" t="s">
        <v>514</v>
      </c>
      <c r="C294">
        <v>2024</v>
      </c>
      <c r="D294" s="2">
        <v>174982</v>
      </c>
      <c r="E294" s="2">
        <v>78619</v>
      </c>
      <c r="F294" s="2">
        <v>96363</v>
      </c>
      <c r="G294" s="2">
        <v>145691</v>
      </c>
      <c r="H294" s="2">
        <v>61479</v>
      </c>
      <c r="I294" s="2">
        <v>84212</v>
      </c>
      <c r="J294" s="2">
        <v>72089</v>
      </c>
      <c r="K294" s="2">
        <v>8296903</v>
      </c>
      <c r="L294" s="2">
        <v>13656723</v>
      </c>
      <c r="M294" s="2">
        <f t="shared" si="27"/>
        <v>34996.400000000001</v>
      </c>
      <c r="N294" s="2">
        <f t="shared" si="28"/>
        <v>19272.599999999999</v>
      </c>
      <c r="O294" s="7">
        <f t="shared" si="24"/>
        <v>0.49480750355203823</v>
      </c>
      <c r="P294" s="9">
        <f t="shared" si="29"/>
        <v>164.60024903268123</v>
      </c>
      <c r="Q294" s="7">
        <f t="shared" si="25"/>
        <v>0.42198214028320213</v>
      </c>
      <c r="R294" s="9">
        <f t="shared" si="26"/>
        <v>1.1614333685713813E-2</v>
      </c>
      <c r="V294">
        <v>174982</v>
      </c>
      <c r="W294">
        <v>96363</v>
      </c>
      <c r="Y294">
        <v>27208</v>
      </c>
      <c r="Z294">
        <v>-16774</v>
      </c>
      <c r="AB294">
        <v>43982</v>
      </c>
      <c r="AC294">
        <v>-18981</v>
      </c>
    </row>
    <row r="295" spans="1:29" x14ac:dyDescent="0.3">
      <c r="A295" t="s">
        <v>305</v>
      </c>
      <c r="B295" t="s">
        <v>514</v>
      </c>
      <c r="C295">
        <v>2024</v>
      </c>
      <c r="D295" s="2">
        <v>191826</v>
      </c>
      <c r="E295" s="2">
        <v>65922</v>
      </c>
      <c r="F295" s="2">
        <v>125904</v>
      </c>
      <c r="G295" s="2">
        <v>194135</v>
      </c>
      <c r="H295" s="2">
        <v>44301</v>
      </c>
      <c r="I295" s="2">
        <v>149834</v>
      </c>
      <c r="J295" s="2">
        <v>139279</v>
      </c>
      <c r="K295" s="2">
        <v>11310208</v>
      </c>
      <c r="L295" s="2">
        <v>12404024</v>
      </c>
      <c r="M295" s="2">
        <f t="shared" si="27"/>
        <v>38365.199999999997</v>
      </c>
      <c r="N295" s="2">
        <f t="shared" si="28"/>
        <v>25180.799999999999</v>
      </c>
      <c r="O295" s="7">
        <f t="shared" si="24"/>
        <v>0.71743374455919851</v>
      </c>
      <c r="P295" s="9">
        <f t="shared" si="29"/>
        <v>109.67105114247235</v>
      </c>
      <c r="Q295" s="7">
        <f t="shared" si="25"/>
        <v>0.22819687330981017</v>
      </c>
      <c r="R295" s="9">
        <f t="shared" si="26"/>
        <v>1.1131890766288295E-2</v>
      </c>
      <c r="V295">
        <v>191826</v>
      </c>
      <c r="W295">
        <v>125904</v>
      </c>
      <c r="Y295">
        <v>145691</v>
      </c>
      <c r="Z295">
        <v>84212</v>
      </c>
      <c r="AB295">
        <v>61479</v>
      </c>
      <c r="AC295">
        <v>72089</v>
      </c>
    </row>
    <row r="296" spans="1:29" x14ac:dyDescent="0.3">
      <c r="A296" t="s">
        <v>306</v>
      </c>
      <c r="B296" t="s">
        <v>514</v>
      </c>
      <c r="C296">
        <v>2024</v>
      </c>
      <c r="D296" s="2">
        <v>148452</v>
      </c>
      <c r="E296" s="2">
        <v>23395</v>
      </c>
      <c r="F296" s="2">
        <v>125057</v>
      </c>
      <c r="G296" s="2">
        <v>231014</v>
      </c>
      <c r="H296" s="2">
        <v>71273</v>
      </c>
      <c r="I296" s="2">
        <v>159741</v>
      </c>
      <c r="J296" s="2">
        <v>152846</v>
      </c>
      <c r="K296" s="2">
        <v>16654304</v>
      </c>
      <c r="L296" s="2">
        <v>10940879</v>
      </c>
      <c r="M296" s="2">
        <f t="shared" si="27"/>
        <v>29690.400000000001</v>
      </c>
      <c r="N296" s="2">
        <f t="shared" si="28"/>
        <v>25011.4</v>
      </c>
      <c r="O296" s="7">
        <f t="shared" si="24"/>
        <v>0.66163089682876364</v>
      </c>
      <c r="P296" s="9">
        <f t="shared" si="29"/>
        <v>65.694003183801613</v>
      </c>
      <c r="Q296" s="7">
        <f t="shared" si="25"/>
        <v>0.30852242721220358</v>
      </c>
      <c r="R296" s="9">
        <f t="shared" si="26"/>
        <v>7.5089898683247287E-3</v>
      </c>
      <c r="V296">
        <v>148452</v>
      </c>
      <c r="W296">
        <v>125057</v>
      </c>
      <c r="Y296">
        <v>194135</v>
      </c>
      <c r="Z296">
        <v>149834</v>
      </c>
      <c r="AB296">
        <v>44301</v>
      </c>
      <c r="AC296">
        <v>139279</v>
      </c>
    </row>
    <row r="297" spans="1:29" x14ac:dyDescent="0.3">
      <c r="A297" t="s">
        <v>307</v>
      </c>
      <c r="B297" t="s">
        <v>514</v>
      </c>
      <c r="C297">
        <v>2024</v>
      </c>
      <c r="D297" s="2">
        <v>60699</v>
      </c>
      <c r="E297" s="2">
        <v>75061</v>
      </c>
      <c r="F297" s="2">
        <v>-14362</v>
      </c>
      <c r="G297" s="2">
        <v>15353</v>
      </c>
      <c r="H297" s="2">
        <v>34169</v>
      </c>
      <c r="I297" s="2">
        <v>-18816</v>
      </c>
      <c r="J297" s="2">
        <v>-36979</v>
      </c>
      <c r="K297" s="2">
        <v>15080736</v>
      </c>
      <c r="L297" s="2">
        <v>6413654</v>
      </c>
      <c r="M297" s="2">
        <f t="shared" si="27"/>
        <v>12139.8</v>
      </c>
      <c r="N297" s="2">
        <f t="shared" si="28"/>
        <v>-2872.4</v>
      </c>
      <c r="O297" s="7">
        <f t="shared" si="24"/>
        <v>-2.4085846414381553</v>
      </c>
      <c r="P297" s="9">
        <f t="shared" si="29"/>
        <v>42.528786393449231</v>
      </c>
      <c r="Q297" s="7">
        <f t="shared" si="25"/>
        <v>2.2255585227642807</v>
      </c>
      <c r="R297" s="9">
        <f t="shared" si="26"/>
        <v>-9.523407876114269E-4</v>
      </c>
      <c r="V297">
        <v>60699</v>
      </c>
      <c r="W297">
        <v>-14362</v>
      </c>
      <c r="Y297">
        <v>231014</v>
      </c>
      <c r="Z297">
        <v>159741</v>
      </c>
      <c r="AB297">
        <v>71273</v>
      </c>
      <c r="AC297">
        <v>152846</v>
      </c>
    </row>
    <row r="298" spans="1:29" x14ac:dyDescent="0.3">
      <c r="A298" t="s">
        <v>308</v>
      </c>
      <c r="B298" t="s">
        <v>514</v>
      </c>
      <c r="C298">
        <v>2024</v>
      </c>
      <c r="D298" s="2">
        <v>174481</v>
      </c>
      <c r="E298" s="2">
        <v>45585</v>
      </c>
      <c r="F298" s="2">
        <v>128896</v>
      </c>
      <c r="G298" s="2">
        <v>179578</v>
      </c>
      <c r="H298" s="2">
        <v>62864</v>
      </c>
      <c r="I298" s="2">
        <v>116714</v>
      </c>
      <c r="J298" s="2">
        <v>109415</v>
      </c>
      <c r="K298" s="2">
        <v>15135229</v>
      </c>
      <c r="L298" s="2">
        <v>11117654</v>
      </c>
      <c r="M298" s="2">
        <f t="shared" si="27"/>
        <v>34896.199999999997</v>
      </c>
      <c r="N298" s="2">
        <f t="shared" si="28"/>
        <v>25779.200000000001</v>
      </c>
      <c r="O298" s="7">
        <f t="shared" si="24"/>
        <v>0.60928955662720374</v>
      </c>
      <c r="P298" s="9">
        <f t="shared" si="29"/>
        <v>73.455472659184736</v>
      </c>
      <c r="Q298" s="7">
        <f t="shared" si="25"/>
        <v>0.35006515274699573</v>
      </c>
      <c r="R298" s="9">
        <f t="shared" si="26"/>
        <v>8.5162900409369423E-3</v>
      </c>
      <c r="V298">
        <v>174481</v>
      </c>
      <c r="W298">
        <v>128896</v>
      </c>
      <c r="Y298">
        <v>15353</v>
      </c>
      <c r="Z298">
        <v>-18816</v>
      </c>
      <c r="AB298">
        <v>34169</v>
      </c>
      <c r="AC298">
        <v>-36979</v>
      </c>
    </row>
    <row r="299" spans="1:29" x14ac:dyDescent="0.3">
      <c r="A299" t="s">
        <v>309</v>
      </c>
      <c r="B299" t="s">
        <v>514</v>
      </c>
      <c r="C299">
        <v>2024</v>
      </c>
      <c r="D299" s="2">
        <v>68073</v>
      </c>
      <c r="E299" s="2">
        <v>46035</v>
      </c>
      <c r="F299" s="2">
        <v>22038</v>
      </c>
      <c r="G299" s="2">
        <v>107015</v>
      </c>
      <c r="H299" s="2">
        <v>98362</v>
      </c>
      <c r="I299" s="2">
        <v>8653</v>
      </c>
      <c r="J299" s="2">
        <v>-3729</v>
      </c>
      <c r="K299" s="2">
        <v>5726331</v>
      </c>
      <c r="L299" s="2">
        <v>4794291</v>
      </c>
      <c r="M299" s="2">
        <f t="shared" si="27"/>
        <v>13614.6</v>
      </c>
      <c r="N299" s="2">
        <f t="shared" si="28"/>
        <v>4407.6000000000004</v>
      </c>
      <c r="O299" s="7">
        <f t="shared" si="24"/>
        <v>-3.4845582394991359E-2</v>
      </c>
      <c r="P299" s="9">
        <f t="shared" si="29"/>
        <v>83.723609410633088</v>
      </c>
      <c r="Q299" s="7">
        <f t="shared" si="25"/>
        <v>0.91914217633042095</v>
      </c>
      <c r="R299" s="9">
        <f t="shared" si="26"/>
        <v>3.8485375714397228E-3</v>
      </c>
      <c r="V299">
        <v>68073</v>
      </c>
      <c r="W299">
        <v>22038</v>
      </c>
      <c r="Y299">
        <v>179578</v>
      </c>
      <c r="Z299">
        <v>116714</v>
      </c>
      <c r="AB299">
        <v>62864</v>
      </c>
      <c r="AC299">
        <v>109415</v>
      </c>
    </row>
    <row r="300" spans="1:29" x14ac:dyDescent="0.3">
      <c r="A300" t="s">
        <v>310</v>
      </c>
      <c r="B300" t="s">
        <v>514</v>
      </c>
      <c r="C300">
        <v>2024</v>
      </c>
      <c r="D300" s="2">
        <v>111929</v>
      </c>
      <c r="E300" s="2">
        <v>22329</v>
      </c>
      <c r="F300" s="2">
        <v>89600</v>
      </c>
      <c r="G300" s="2">
        <v>134769</v>
      </c>
      <c r="H300" s="2">
        <v>49594</v>
      </c>
      <c r="I300" s="2">
        <v>85175</v>
      </c>
      <c r="J300" s="2">
        <v>71754</v>
      </c>
      <c r="K300" s="2">
        <v>17774615</v>
      </c>
      <c r="L300" s="2">
        <v>8287913</v>
      </c>
      <c r="M300" s="2">
        <f t="shared" si="27"/>
        <v>22385.8</v>
      </c>
      <c r="N300" s="2">
        <f t="shared" si="28"/>
        <v>17920</v>
      </c>
      <c r="O300" s="7">
        <f t="shared" si="24"/>
        <v>0.5324221445584667</v>
      </c>
      <c r="P300" s="9">
        <f t="shared" si="29"/>
        <v>46.627806003111743</v>
      </c>
      <c r="Q300" s="7">
        <f t="shared" si="25"/>
        <v>0.36799263925680237</v>
      </c>
      <c r="R300" s="9">
        <f t="shared" si="26"/>
        <v>5.0408968070475785E-3</v>
      </c>
      <c r="V300">
        <v>111929</v>
      </c>
      <c r="W300">
        <v>89600</v>
      </c>
      <c r="Y300">
        <v>107015</v>
      </c>
      <c r="Z300">
        <v>8653</v>
      </c>
      <c r="AB300">
        <v>98362</v>
      </c>
      <c r="AC300">
        <v>-3729</v>
      </c>
    </row>
    <row r="301" spans="1:29" x14ac:dyDescent="0.3">
      <c r="A301" t="s">
        <v>311</v>
      </c>
      <c r="B301" t="s">
        <v>514</v>
      </c>
      <c r="C301">
        <v>2024</v>
      </c>
      <c r="D301" s="2">
        <v>113133</v>
      </c>
      <c r="E301" s="2">
        <v>62290</v>
      </c>
      <c r="F301" s="2">
        <v>50843</v>
      </c>
      <c r="G301" s="2">
        <v>164874</v>
      </c>
      <c r="H301" s="2">
        <v>46750</v>
      </c>
      <c r="I301" s="2">
        <v>118124</v>
      </c>
      <c r="J301" s="2">
        <v>108431</v>
      </c>
      <c r="K301" s="2">
        <v>17001352</v>
      </c>
      <c r="L301" s="2">
        <v>12515406</v>
      </c>
      <c r="M301" s="2">
        <f t="shared" si="27"/>
        <v>22626.6</v>
      </c>
      <c r="N301" s="2">
        <f t="shared" si="28"/>
        <v>10168.6</v>
      </c>
      <c r="O301" s="7">
        <f t="shared" si="24"/>
        <v>0.65765978868711861</v>
      </c>
      <c r="P301" s="9">
        <f t="shared" si="29"/>
        <v>73.614180801620961</v>
      </c>
      <c r="Q301" s="7">
        <f t="shared" si="25"/>
        <v>0.28354986231910428</v>
      </c>
      <c r="R301" s="9">
        <f t="shared" si="26"/>
        <v>2.9905268710394327E-3</v>
      </c>
      <c r="V301">
        <v>113133</v>
      </c>
      <c r="W301">
        <v>50843</v>
      </c>
      <c r="Y301">
        <v>134769</v>
      </c>
      <c r="Z301">
        <v>85175</v>
      </c>
      <c r="AB301">
        <v>49594</v>
      </c>
      <c r="AC301">
        <v>71754</v>
      </c>
    </row>
    <row r="302" spans="1:29" x14ac:dyDescent="0.3">
      <c r="A302" t="s">
        <v>312</v>
      </c>
      <c r="B302" t="s">
        <v>515</v>
      </c>
      <c r="C302">
        <v>2020</v>
      </c>
      <c r="D302" s="2">
        <v>162020</v>
      </c>
      <c r="E302" s="2">
        <v>34226</v>
      </c>
      <c r="F302" s="2">
        <v>127794</v>
      </c>
      <c r="G302" s="2">
        <v>154515</v>
      </c>
      <c r="H302" s="2">
        <v>71154</v>
      </c>
      <c r="I302" s="2">
        <v>83361</v>
      </c>
      <c r="J302" s="2">
        <v>73988</v>
      </c>
      <c r="K302" s="2">
        <v>17687123</v>
      </c>
      <c r="L302" s="2">
        <v>14720657</v>
      </c>
      <c r="M302" s="2">
        <f t="shared" si="27"/>
        <v>32404</v>
      </c>
      <c r="N302" s="2">
        <f t="shared" si="28"/>
        <v>25558.799999999999</v>
      </c>
      <c r="O302" s="7">
        <f t="shared" si="24"/>
        <v>0.47884024204769765</v>
      </c>
      <c r="P302" s="9">
        <f t="shared" si="29"/>
        <v>83.228103293000217</v>
      </c>
      <c r="Q302" s="7">
        <f t="shared" si="25"/>
        <v>0.46049898068148726</v>
      </c>
      <c r="R302" s="9">
        <f t="shared" si="26"/>
        <v>7.2252564761380355E-3</v>
      </c>
      <c r="V302">
        <v>162020</v>
      </c>
      <c r="W302">
        <v>127794</v>
      </c>
      <c r="Y302">
        <v>164874</v>
      </c>
      <c r="Z302">
        <v>118124</v>
      </c>
      <c r="AB302">
        <v>46750</v>
      </c>
      <c r="AC302">
        <v>108431</v>
      </c>
    </row>
    <row r="303" spans="1:29" x14ac:dyDescent="0.3">
      <c r="A303" t="s">
        <v>313</v>
      </c>
      <c r="B303" t="s">
        <v>515</v>
      </c>
      <c r="C303">
        <v>2020</v>
      </c>
      <c r="D303" s="2">
        <v>186728</v>
      </c>
      <c r="E303" s="2">
        <v>73740</v>
      </c>
      <c r="F303" s="2">
        <v>112988</v>
      </c>
      <c r="G303" s="2">
        <v>197297</v>
      </c>
      <c r="H303" s="2">
        <v>44984</v>
      </c>
      <c r="I303" s="2">
        <v>152313</v>
      </c>
      <c r="J303" s="2">
        <v>142027</v>
      </c>
      <c r="K303" s="2">
        <v>16540237</v>
      </c>
      <c r="L303" s="2">
        <v>13648384</v>
      </c>
      <c r="M303" s="2">
        <f t="shared" si="27"/>
        <v>37345.599999999999</v>
      </c>
      <c r="N303" s="2">
        <f t="shared" si="28"/>
        <v>22597.599999999999</v>
      </c>
      <c r="O303" s="7">
        <f t="shared" si="24"/>
        <v>0.71986396143884601</v>
      </c>
      <c r="P303" s="9">
        <f t="shared" si="29"/>
        <v>82.516254150409083</v>
      </c>
      <c r="Q303" s="7">
        <f t="shared" si="25"/>
        <v>0.22800143945422383</v>
      </c>
      <c r="R303" s="9">
        <f t="shared" si="26"/>
        <v>6.8310992158093021E-3</v>
      </c>
      <c r="V303">
        <v>186728</v>
      </c>
      <c r="W303">
        <v>112988</v>
      </c>
      <c r="Y303">
        <v>154515</v>
      </c>
      <c r="Z303">
        <v>83361</v>
      </c>
      <c r="AB303">
        <v>71154</v>
      </c>
      <c r="AC303">
        <v>73988</v>
      </c>
    </row>
    <row r="304" spans="1:29" x14ac:dyDescent="0.3">
      <c r="A304" t="s">
        <v>314</v>
      </c>
      <c r="B304" t="s">
        <v>515</v>
      </c>
      <c r="C304">
        <v>2020</v>
      </c>
      <c r="D304" s="2">
        <v>81055</v>
      </c>
      <c r="E304" s="2">
        <v>47685</v>
      </c>
      <c r="F304" s="2">
        <v>33370</v>
      </c>
      <c r="G304" s="2">
        <v>127335</v>
      </c>
      <c r="H304" s="2">
        <v>29716</v>
      </c>
      <c r="I304" s="2">
        <v>97619</v>
      </c>
      <c r="J304" s="2">
        <v>79824</v>
      </c>
      <c r="K304" s="2">
        <v>16021186</v>
      </c>
      <c r="L304" s="2">
        <v>3968616</v>
      </c>
      <c r="M304" s="2">
        <f t="shared" si="27"/>
        <v>16211</v>
      </c>
      <c r="N304" s="2">
        <f t="shared" si="28"/>
        <v>6674</v>
      </c>
      <c r="O304" s="7">
        <f t="shared" si="24"/>
        <v>0.62688184709624217</v>
      </c>
      <c r="P304" s="9">
        <f t="shared" si="29"/>
        <v>24.771050033374557</v>
      </c>
      <c r="Q304" s="7">
        <f t="shared" si="25"/>
        <v>0.23336867318490595</v>
      </c>
      <c r="R304" s="9">
        <f t="shared" si="26"/>
        <v>2.0828670237022402E-3</v>
      </c>
      <c r="V304">
        <v>81055</v>
      </c>
      <c r="W304">
        <v>33370</v>
      </c>
      <c r="Y304">
        <v>197297</v>
      </c>
      <c r="Z304">
        <v>152313</v>
      </c>
      <c r="AB304">
        <v>44984</v>
      </c>
      <c r="AC304">
        <v>142027</v>
      </c>
    </row>
    <row r="305" spans="1:29" x14ac:dyDescent="0.3">
      <c r="A305" t="s">
        <v>315</v>
      </c>
      <c r="B305" t="s">
        <v>515</v>
      </c>
      <c r="C305">
        <v>2020</v>
      </c>
      <c r="D305" s="2">
        <v>73429</v>
      </c>
      <c r="E305" s="2">
        <v>60200</v>
      </c>
      <c r="F305" s="2">
        <v>13229</v>
      </c>
      <c r="G305" s="2">
        <v>104537</v>
      </c>
      <c r="H305" s="2">
        <v>63244</v>
      </c>
      <c r="I305" s="2">
        <v>41293</v>
      </c>
      <c r="J305" s="2">
        <v>23542</v>
      </c>
      <c r="K305" s="2">
        <v>12179156</v>
      </c>
      <c r="L305" s="2">
        <v>13197985</v>
      </c>
      <c r="M305" s="2">
        <f t="shared" si="27"/>
        <v>14685.8</v>
      </c>
      <c r="N305" s="2">
        <f t="shared" si="28"/>
        <v>2645.8</v>
      </c>
      <c r="O305" s="7">
        <f t="shared" si="24"/>
        <v>0.22520255985918861</v>
      </c>
      <c r="P305" s="9">
        <f t="shared" si="29"/>
        <v>108.36534978285852</v>
      </c>
      <c r="Q305" s="7">
        <f t="shared" si="25"/>
        <v>0.6049915340979749</v>
      </c>
      <c r="R305" s="9">
        <f t="shared" si="26"/>
        <v>1.0862000618105229E-3</v>
      </c>
      <c r="V305">
        <v>73429</v>
      </c>
      <c r="W305">
        <v>13229</v>
      </c>
      <c r="Y305">
        <v>127335</v>
      </c>
      <c r="Z305">
        <v>97619</v>
      </c>
      <c r="AB305">
        <v>29716</v>
      </c>
      <c r="AC305">
        <v>79824</v>
      </c>
    </row>
    <row r="306" spans="1:29" x14ac:dyDescent="0.3">
      <c r="A306" t="s">
        <v>316</v>
      </c>
      <c r="B306" t="s">
        <v>515</v>
      </c>
      <c r="C306">
        <v>2020</v>
      </c>
      <c r="D306" s="2">
        <v>67347</v>
      </c>
      <c r="E306" s="2">
        <v>26920</v>
      </c>
      <c r="F306" s="2">
        <v>40427</v>
      </c>
      <c r="G306" s="2">
        <v>92249</v>
      </c>
      <c r="H306" s="2">
        <v>61659</v>
      </c>
      <c r="I306" s="2">
        <v>30590</v>
      </c>
      <c r="J306" s="2">
        <v>21250</v>
      </c>
      <c r="K306" s="2">
        <v>16401147</v>
      </c>
      <c r="L306" s="2">
        <v>7202271</v>
      </c>
      <c r="M306" s="2">
        <f t="shared" si="27"/>
        <v>13469.4</v>
      </c>
      <c r="N306" s="2">
        <f t="shared" si="28"/>
        <v>8085.4</v>
      </c>
      <c r="O306" s="7">
        <f t="shared" si="24"/>
        <v>0.23035480059404437</v>
      </c>
      <c r="P306" s="9">
        <f t="shared" si="29"/>
        <v>43.913215337927284</v>
      </c>
      <c r="Q306" s="7">
        <f t="shared" si="25"/>
        <v>0.66839748940367916</v>
      </c>
      <c r="R306" s="9">
        <f t="shared" si="26"/>
        <v>2.4648885837069809E-3</v>
      </c>
      <c r="V306">
        <v>67347</v>
      </c>
      <c r="W306">
        <v>40427</v>
      </c>
      <c r="Y306">
        <v>104537</v>
      </c>
      <c r="Z306">
        <v>41293</v>
      </c>
      <c r="AB306">
        <v>63244</v>
      </c>
      <c r="AC306">
        <v>23542</v>
      </c>
    </row>
    <row r="307" spans="1:29" x14ac:dyDescent="0.3">
      <c r="A307" t="s">
        <v>317</v>
      </c>
      <c r="B307" t="s">
        <v>515</v>
      </c>
      <c r="C307">
        <v>2020</v>
      </c>
      <c r="D307" s="2">
        <v>160719</v>
      </c>
      <c r="E307" s="2">
        <v>21871</v>
      </c>
      <c r="F307" s="2">
        <v>138848</v>
      </c>
      <c r="G307" s="2">
        <v>253147</v>
      </c>
      <c r="H307" s="2">
        <v>92452</v>
      </c>
      <c r="I307" s="2">
        <v>160695</v>
      </c>
      <c r="J307" s="2">
        <v>149961</v>
      </c>
      <c r="K307" s="2">
        <v>14601869</v>
      </c>
      <c r="L307" s="2">
        <v>7746771</v>
      </c>
      <c r="M307" s="2">
        <f t="shared" si="27"/>
        <v>32143.8</v>
      </c>
      <c r="N307" s="2">
        <f t="shared" si="28"/>
        <v>27769.599999999999</v>
      </c>
      <c r="O307" s="7">
        <f t="shared" si="24"/>
        <v>0.592387032040672</v>
      </c>
      <c r="P307" s="9">
        <f t="shared" si="29"/>
        <v>53.053283795382633</v>
      </c>
      <c r="Q307" s="7">
        <f t="shared" si="25"/>
        <v>0.36521072736394267</v>
      </c>
      <c r="R307" s="9">
        <f t="shared" si="26"/>
        <v>9.5089197143187632E-3</v>
      </c>
      <c r="V307">
        <v>160719</v>
      </c>
      <c r="W307">
        <v>138848</v>
      </c>
      <c r="Y307">
        <v>92249</v>
      </c>
      <c r="Z307">
        <v>30590</v>
      </c>
      <c r="AB307">
        <v>61659</v>
      </c>
      <c r="AC307">
        <v>21250</v>
      </c>
    </row>
    <row r="308" spans="1:29" x14ac:dyDescent="0.3">
      <c r="A308" t="s">
        <v>318</v>
      </c>
      <c r="B308" t="s">
        <v>515</v>
      </c>
      <c r="C308">
        <v>2020</v>
      </c>
      <c r="D308" s="2">
        <v>105099</v>
      </c>
      <c r="E308" s="2">
        <v>45262</v>
      </c>
      <c r="F308" s="2">
        <v>59837</v>
      </c>
      <c r="G308" s="2">
        <v>158050</v>
      </c>
      <c r="H308" s="2">
        <v>33268</v>
      </c>
      <c r="I308" s="2">
        <v>124782</v>
      </c>
      <c r="J308" s="2">
        <v>110452</v>
      </c>
      <c r="K308" s="2">
        <v>15309885</v>
      </c>
      <c r="L308" s="2">
        <v>7254849</v>
      </c>
      <c r="M308" s="2">
        <f t="shared" si="27"/>
        <v>21019.8</v>
      </c>
      <c r="N308" s="2">
        <f t="shared" si="28"/>
        <v>11967.4</v>
      </c>
      <c r="O308" s="7">
        <f t="shared" si="24"/>
        <v>0.69884213856374566</v>
      </c>
      <c r="P308" s="9">
        <f t="shared" si="29"/>
        <v>47.38669820184802</v>
      </c>
      <c r="Q308" s="7">
        <f t="shared" si="25"/>
        <v>0.21049035115469789</v>
      </c>
      <c r="R308" s="9">
        <f t="shared" si="26"/>
        <v>3.90838990625991E-3</v>
      </c>
      <c r="V308">
        <v>105099</v>
      </c>
      <c r="W308">
        <v>59837</v>
      </c>
      <c r="Y308">
        <v>253147</v>
      </c>
      <c r="Z308">
        <v>160695</v>
      </c>
      <c r="AB308">
        <v>92452</v>
      </c>
      <c r="AC308">
        <v>149961</v>
      </c>
    </row>
    <row r="309" spans="1:29" x14ac:dyDescent="0.3">
      <c r="A309" t="s">
        <v>319</v>
      </c>
      <c r="B309" t="s">
        <v>515</v>
      </c>
      <c r="C309">
        <v>2020</v>
      </c>
      <c r="D309" s="2">
        <v>89922</v>
      </c>
      <c r="E309" s="2">
        <v>52913</v>
      </c>
      <c r="F309" s="2">
        <v>37009</v>
      </c>
      <c r="G309" s="2">
        <v>154042</v>
      </c>
      <c r="H309" s="2">
        <v>70677</v>
      </c>
      <c r="I309" s="2">
        <v>83365</v>
      </c>
      <c r="J309" s="2">
        <v>77515</v>
      </c>
      <c r="K309" s="2">
        <v>6491633</v>
      </c>
      <c r="L309" s="2">
        <v>12922462</v>
      </c>
      <c r="M309" s="2">
        <f t="shared" si="27"/>
        <v>17984.400000000001</v>
      </c>
      <c r="N309" s="2">
        <f t="shared" si="28"/>
        <v>7401.8</v>
      </c>
      <c r="O309" s="7">
        <f t="shared" si="24"/>
        <v>0.50320691759390301</v>
      </c>
      <c r="P309" s="9">
        <f t="shared" si="29"/>
        <v>199.06334815908414</v>
      </c>
      <c r="Q309" s="7">
        <f t="shared" si="25"/>
        <v>0.45881642668882511</v>
      </c>
      <c r="R309" s="9">
        <f t="shared" si="26"/>
        <v>5.7010308500187856E-3</v>
      </c>
      <c r="V309">
        <v>89922</v>
      </c>
      <c r="W309">
        <v>37009</v>
      </c>
      <c r="Y309">
        <v>158050</v>
      </c>
      <c r="Z309">
        <v>124782</v>
      </c>
      <c r="AB309">
        <v>33268</v>
      </c>
      <c r="AC309">
        <v>110452</v>
      </c>
    </row>
    <row r="310" spans="1:29" x14ac:dyDescent="0.3">
      <c r="A310" t="s">
        <v>320</v>
      </c>
      <c r="B310" t="s">
        <v>515</v>
      </c>
      <c r="C310">
        <v>2020</v>
      </c>
      <c r="D310" s="2">
        <v>169863</v>
      </c>
      <c r="E310" s="2">
        <v>35032</v>
      </c>
      <c r="F310" s="2">
        <v>134831</v>
      </c>
      <c r="G310" s="2">
        <v>192677</v>
      </c>
      <c r="H310" s="2">
        <v>74474</v>
      </c>
      <c r="I310" s="2">
        <v>118203</v>
      </c>
      <c r="J310" s="2">
        <v>104035</v>
      </c>
      <c r="K310" s="2">
        <v>11976610</v>
      </c>
      <c r="L310" s="2">
        <v>4765524</v>
      </c>
      <c r="M310" s="2">
        <f t="shared" si="27"/>
        <v>33972.6</v>
      </c>
      <c r="N310" s="2">
        <f t="shared" si="28"/>
        <v>26966.2</v>
      </c>
      <c r="O310" s="7">
        <f t="shared" si="24"/>
        <v>0.5399450894502198</v>
      </c>
      <c r="P310" s="9">
        <f t="shared" si="29"/>
        <v>39.790257844248075</v>
      </c>
      <c r="Q310" s="7">
        <f t="shared" si="25"/>
        <v>0.38652252214846611</v>
      </c>
      <c r="R310" s="9">
        <f t="shared" si="26"/>
        <v>1.1257860112335628E-2</v>
      </c>
      <c r="V310">
        <v>169863</v>
      </c>
      <c r="W310">
        <v>134831</v>
      </c>
      <c r="Y310">
        <v>154042</v>
      </c>
      <c r="Z310">
        <v>83365</v>
      </c>
      <c r="AB310">
        <v>70677</v>
      </c>
      <c r="AC310">
        <v>77515</v>
      </c>
    </row>
    <row r="311" spans="1:29" x14ac:dyDescent="0.3">
      <c r="A311" t="s">
        <v>321</v>
      </c>
      <c r="B311" t="s">
        <v>515</v>
      </c>
      <c r="C311">
        <v>2020</v>
      </c>
      <c r="D311" s="2">
        <v>78141</v>
      </c>
      <c r="E311" s="2">
        <v>19074</v>
      </c>
      <c r="F311" s="2">
        <v>59067</v>
      </c>
      <c r="G311" s="2">
        <v>85473</v>
      </c>
      <c r="H311" s="2">
        <v>38291</v>
      </c>
      <c r="I311" s="2">
        <v>47182</v>
      </c>
      <c r="J311" s="2">
        <v>36382</v>
      </c>
      <c r="K311" s="2">
        <v>11913283</v>
      </c>
      <c r="L311" s="2">
        <v>4619715</v>
      </c>
      <c r="M311" s="2">
        <f t="shared" si="27"/>
        <v>15628.2</v>
      </c>
      <c r="N311" s="2">
        <f t="shared" si="28"/>
        <v>11813.4</v>
      </c>
      <c r="O311" s="7">
        <f t="shared" si="24"/>
        <v>0.42565488516841576</v>
      </c>
      <c r="P311" s="9">
        <f t="shared" si="29"/>
        <v>38.77784990082079</v>
      </c>
      <c r="Q311" s="7">
        <f t="shared" si="25"/>
        <v>0.44798942356065657</v>
      </c>
      <c r="R311" s="9">
        <f t="shared" si="26"/>
        <v>4.9580791457736716E-3</v>
      </c>
      <c r="V311">
        <v>78141</v>
      </c>
      <c r="W311">
        <v>59067</v>
      </c>
      <c r="Y311">
        <v>192677</v>
      </c>
      <c r="Z311">
        <v>118203</v>
      </c>
      <c r="AB311">
        <v>74474</v>
      </c>
      <c r="AC311">
        <v>104035</v>
      </c>
    </row>
    <row r="312" spans="1:29" x14ac:dyDescent="0.3">
      <c r="A312" t="s">
        <v>322</v>
      </c>
      <c r="B312" t="s">
        <v>515</v>
      </c>
      <c r="C312">
        <v>2020</v>
      </c>
      <c r="D312" s="2">
        <v>104823</v>
      </c>
      <c r="E312" s="2">
        <v>33312</v>
      </c>
      <c r="F312" s="2">
        <v>71511</v>
      </c>
      <c r="G312" s="2">
        <v>134619</v>
      </c>
      <c r="H312" s="2">
        <v>81918</v>
      </c>
      <c r="I312" s="2">
        <v>52701</v>
      </c>
      <c r="J312" s="2">
        <v>49298</v>
      </c>
      <c r="K312" s="2">
        <v>11726451</v>
      </c>
      <c r="L312" s="2">
        <v>11064220</v>
      </c>
      <c r="M312" s="2">
        <f t="shared" si="27"/>
        <v>20964.599999999999</v>
      </c>
      <c r="N312" s="2">
        <f t="shared" si="28"/>
        <v>14302.2</v>
      </c>
      <c r="O312" s="7">
        <f t="shared" si="24"/>
        <v>0.36620387909581859</v>
      </c>
      <c r="P312" s="9">
        <f t="shared" si="29"/>
        <v>94.352673285378501</v>
      </c>
      <c r="Q312" s="7">
        <f t="shared" si="25"/>
        <v>0.60851737124774363</v>
      </c>
      <c r="R312" s="9">
        <f t="shared" si="26"/>
        <v>6.0982645132785698E-3</v>
      </c>
      <c r="V312">
        <v>104823</v>
      </c>
      <c r="W312">
        <v>71511</v>
      </c>
      <c r="Y312">
        <v>85473</v>
      </c>
      <c r="Z312">
        <v>47182</v>
      </c>
      <c r="AB312">
        <v>38291</v>
      </c>
      <c r="AC312">
        <v>36382</v>
      </c>
    </row>
    <row r="313" spans="1:29" x14ac:dyDescent="0.3">
      <c r="A313" t="s">
        <v>323</v>
      </c>
      <c r="B313" t="s">
        <v>515</v>
      </c>
      <c r="C313">
        <v>2020</v>
      </c>
      <c r="D313" s="2">
        <v>148723</v>
      </c>
      <c r="E313" s="2">
        <v>22411</v>
      </c>
      <c r="F313" s="2">
        <v>126312</v>
      </c>
      <c r="G313" s="2">
        <v>203321</v>
      </c>
      <c r="H313" s="2">
        <v>30422</v>
      </c>
      <c r="I313" s="2">
        <v>172899</v>
      </c>
      <c r="J313" s="2">
        <v>161199</v>
      </c>
      <c r="K313" s="2">
        <v>15542782</v>
      </c>
      <c r="L313" s="2">
        <v>5430525</v>
      </c>
      <c r="M313" s="2">
        <f t="shared" si="27"/>
        <v>29744.6</v>
      </c>
      <c r="N313" s="2">
        <f t="shared" si="28"/>
        <v>25262.400000000001</v>
      </c>
      <c r="O313" s="7">
        <f t="shared" si="24"/>
        <v>0.79283005690509101</v>
      </c>
      <c r="P313" s="9">
        <f t="shared" si="29"/>
        <v>34.939208437717262</v>
      </c>
      <c r="Q313" s="7">
        <f t="shared" si="25"/>
        <v>0.1496254690858298</v>
      </c>
      <c r="R313" s="9">
        <f t="shared" si="26"/>
        <v>8.1267304656270668E-3</v>
      </c>
      <c r="V313">
        <v>148723</v>
      </c>
      <c r="W313">
        <v>126312</v>
      </c>
      <c r="Y313">
        <v>134619</v>
      </c>
      <c r="Z313">
        <v>52701</v>
      </c>
      <c r="AB313">
        <v>81918</v>
      </c>
      <c r="AC313">
        <v>49298</v>
      </c>
    </row>
    <row r="314" spans="1:29" x14ac:dyDescent="0.3">
      <c r="A314" t="s">
        <v>324</v>
      </c>
      <c r="B314" t="s">
        <v>515</v>
      </c>
      <c r="C314">
        <v>2020</v>
      </c>
      <c r="D314" s="2">
        <v>149071</v>
      </c>
      <c r="E314" s="2">
        <v>61196</v>
      </c>
      <c r="F314" s="2">
        <v>87875</v>
      </c>
      <c r="G314" s="2">
        <v>188229</v>
      </c>
      <c r="H314" s="2">
        <v>41715</v>
      </c>
      <c r="I314" s="2">
        <v>146514</v>
      </c>
      <c r="J314" s="2">
        <v>142965</v>
      </c>
      <c r="K314" s="2">
        <v>9749766</v>
      </c>
      <c r="L314" s="2">
        <v>4546236</v>
      </c>
      <c r="M314" s="2">
        <f t="shared" si="27"/>
        <v>29814.2</v>
      </c>
      <c r="N314" s="2">
        <f t="shared" si="28"/>
        <v>17575</v>
      </c>
      <c r="O314" s="7">
        <f t="shared" si="24"/>
        <v>0.75952695918269764</v>
      </c>
      <c r="P314" s="9">
        <f t="shared" si="29"/>
        <v>46.629180638796868</v>
      </c>
      <c r="Q314" s="7">
        <f t="shared" si="25"/>
        <v>0.22161834786350668</v>
      </c>
      <c r="R314" s="9">
        <f t="shared" si="26"/>
        <v>9.0130368257043299E-3</v>
      </c>
      <c r="V314">
        <v>149071</v>
      </c>
      <c r="W314">
        <v>87875</v>
      </c>
      <c r="Y314">
        <v>203321</v>
      </c>
      <c r="Z314">
        <v>172899</v>
      </c>
      <c r="AB314">
        <v>30422</v>
      </c>
      <c r="AC314">
        <v>161199</v>
      </c>
    </row>
    <row r="315" spans="1:29" x14ac:dyDescent="0.3">
      <c r="A315" t="s">
        <v>325</v>
      </c>
      <c r="B315" t="s">
        <v>515</v>
      </c>
      <c r="C315">
        <v>2020</v>
      </c>
      <c r="D315" s="2">
        <v>126373</v>
      </c>
      <c r="E315" s="2">
        <v>79252</v>
      </c>
      <c r="F315" s="2">
        <v>47121</v>
      </c>
      <c r="G315" s="2">
        <v>129070</v>
      </c>
      <c r="H315" s="2">
        <v>77646</v>
      </c>
      <c r="I315" s="2">
        <v>51424</v>
      </c>
      <c r="J315" s="2">
        <v>44943</v>
      </c>
      <c r="K315" s="2">
        <v>9257341</v>
      </c>
      <c r="L315" s="2">
        <v>6759834</v>
      </c>
      <c r="M315" s="2">
        <f t="shared" si="27"/>
        <v>25274.6</v>
      </c>
      <c r="N315" s="2">
        <f t="shared" si="28"/>
        <v>9424.2000000000007</v>
      </c>
      <c r="O315" s="7">
        <f t="shared" si="24"/>
        <v>0.34820639962810879</v>
      </c>
      <c r="P315" s="9">
        <f t="shared" si="29"/>
        <v>73.021335176051096</v>
      </c>
      <c r="Q315" s="7">
        <f t="shared" si="25"/>
        <v>0.6015805376927249</v>
      </c>
      <c r="R315" s="9">
        <f t="shared" si="26"/>
        <v>5.0901225308649647E-3</v>
      </c>
      <c r="V315">
        <v>126373</v>
      </c>
      <c r="W315">
        <v>47121</v>
      </c>
      <c r="Y315">
        <v>188229</v>
      </c>
      <c r="Z315">
        <v>146514</v>
      </c>
      <c r="AB315">
        <v>41715</v>
      </c>
      <c r="AC315">
        <v>142965</v>
      </c>
    </row>
    <row r="316" spans="1:29" x14ac:dyDescent="0.3">
      <c r="A316" t="s">
        <v>326</v>
      </c>
      <c r="B316" t="s">
        <v>515</v>
      </c>
      <c r="C316">
        <v>2020</v>
      </c>
      <c r="D316" s="2">
        <v>56548</v>
      </c>
      <c r="E316" s="2">
        <v>33177</v>
      </c>
      <c r="F316" s="2">
        <v>23371</v>
      </c>
      <c r="G316" s="2">
        <v>67393</v>
      </c>
      <c r="H316" s="2">
        <v>20542</v>
      </c>
      <c r="I316" s="2">
        <v>46851</v>
      </c>
      <c r="J316" s="2">
        <v>30023</v>
      </c>
      <c r="K316" s="2">
        <v>18819092</v>
      </c>
      <c r="L316" s="2">
        <v>6246417</v>
      </c>
      <c r="M316" s="2">
        <f t="shared" si="27"/>
        <v>11309.6</v>
      </c>
      <c r="N316" s="2">
        <f t="shared" si="28"/>
        <v>4674.2</v>
      </c>
      <c r="O316" s="7">
        <f t="shared" si="24"/>
        <v>0.44549137150742657</v>
      </c>
      <c r="P316" s="9">
        <f t="shared" si="29"/>
        <v>33.191914891536747</v>
      </c>
      <c r="Q316" s="7">
        <f t="shared" si="25"/>
        <v>0.30480910480316947</v>
      </c>
      <c r="R316" s="9">
        <f t="shared" si="26"/>
        <v>1.2418771320104073E-3</v>
      </c>
      <c r="V316">
        <v>56548</v>
      </c>
      <c r="W316">
        <v>23371</v>
      </c>
      <c r="Y316">
        <v>129070</v>
      </c>
      <c r="Z316">
        <v>51424</v>
      </c>
      <c r="AB316">
        <v>77646</v>
      </c>
      <c r="AC316">
        <v>44943</v>
      </c>
    </row>
    <row r="317" spans="1:29" x14ac:dyDescent="0.3">
      <c r="A317" t="s">
        <v>327</v>
      </c>
      <c r="B317" t="s">
        <v>515</v>
      </c>
      <c r="C317">
        <v>2020</v>
      </c>
      <c r="D317" s="2">
        <v>181743</v>
      </c>
      <c r="E317" s="2">
        <v>10163</v>
      </c>
      <c r="F317" s="2">
        <v>171580</v>
      </c>
      <c r="G317" s="2">
        <v>233004</v>
      </c>
      <c r="H317" s="2">
        <v>68744</v>
      </c>
      <c r="I317" s="2">
        <v>164260</v>
      </c>
      <c r="J317" s="2">
        <v>157465</v>
      </c>
      <c r="K317" s="2">
        <v>11695306</v>
      </c>
      <c r="L317" s="2">
        <v>8378750</v>
      </c>
      <c r="M317" s="2">
        <f t="shared" si="27"/>
        <v>36348.6</v>
      </c>
      <c r="N317" s="2">
        <f t="shared" si="28"/>
        <v>34316</v>
      </c>
      <c r="O317" s="7">
        <f t="shared" si="24"/>
        <v>0.67580384886096379</v>
      </c>
      <c r="P317" s="9">
        <f t="shared" si="29"/>
        <v>71.641990384860392</v>
      </c>
      <c r="Q317" s="7">
        <f t="shared" si="25"/>
        <v>0.29503356165559391</v>
      </c>
      <c r="R317" s="9">
        <f t="shared" si="26"/>
        <v>1.4670843157075154E-2</v>
      </c>
      <c r="V317">
        <v>181743</v>
      </c>
      <c r="W317">
        <v>171580</v>
      </c>
      <c r="Y317">
        <v>67393</v>
      </c>
      <c r="Z317">
        <v>46851</v>
      </c>
      <c r="AB317">
        <v>20542</v>
      </c>
      <c r="AC317">
        <v>30023</v>
      </c>
    </row>
    <row r="318" spans="1:29" x14ac:dyDescent="0.3">
      <c r="A318" t="s">
        <v>328</v>
      </c>
      <c r="B318" t="s">
        <v>515</v>
      </c>
      <c r="C318">
        <v>2020</v>
      </c>
      <c r="D318" s="2">
        <v>72420</v>
      </c>
      <c r="E318" s="2">
        <v>39300</v>
      </c>
      <c r="F318" s="2">
        <v>33120</v>
      </c>
      <c r="G318" s="2">
        <v>143001</v>
      </c>
      <c r="H318" s="2">
        <v>25749</v>
      </c>
      <c r="I318" s="2">
        <v>117252</v>
      </c>
      <c r="J318" s="2">
        <v>109425</v>
      </c>
      <c r="K318" s="2">
        <v>10923361</v>
      </c>
      <c r="L318" s="2">
        <v>4963571</v>
      </c>
      <c r="M318" s="2">
        <f t="shared" si="27"/>
        <v>14484</v>
      </c>
      <c r="N318" s="2">
        <f t="shared" si="28"/>
        <v>6624</v>
      </c>
      <c r="O318" s="7">
        <f t="shared" si="24"/>
        <v>0.7652044391297963</v>
      </c>
      <c r="P318" s="9">
        <f t="shared" si="29"/>
        <v>45.439961198755583</v>
      </c>
      <c r="Q318" s="7">
        <f t="shared" si="25"/>
        <v>0.1800616778903644</v>
      </c>
      <c r="R318" s="9">
        <f t="shared" si="26"/>
        <v>3.0320338218246196E-3</v>
      </c>
      <c r="V318">
        <v>72420</v>
      </c>
      <c r="W318">
        <v>33120</v>
      </c>
      <c r="Y318">
        <v>233004</v>
      </c>
      <c r="Z318">
        <v>164260</v>
      </c>
      <c r="AB318">
        <v>68744</v>
      </c>
      <c r="AC318">
        <v>157465</v>
      </c>
    </row>
    <row r="319" spans="1:29" x14ac:dyDescent="0.3">
      <c r="A319" t="s">
        <v>329</v>
      </c>
      <c r="B319" t="s">
        <v>515</v>
      </c>
      <c r="C319">
        <v>2020</v>
      </c>
      <c r="D319" s="2">
        <v>87487</v>
      </c>
      <c r="E319" s="2">
        <v>43361</v>
      </c>
      <c r="F319" s="2">
        <v>44126</v>
      </c>
      <c r="G319" s="2">
        <v>85349</v>
      </c>
      <c r="H319" s="2">
        <v>87930</v>
      </c>
      <c r="I319" s="2">
        <v>-2581</v>
      </c>
      <c r="J319" s="2">
        <v>-18637</v>
      </c>
      <c r="K319" s="2">
        <v>8436252</v>
      </c>
      <c r="L319" s="2">
        <v>3817052</v>
      </c>
      <c r="M319" s="2">
        <f t="shared" si="27"/>
        <v>17497.400000000001</v>
      </c>
      <c r="N319" s="2">
        <f t="shared" si="28"/>
        <v>8825.2000000000007</v>
      </c>
      <c r="O319" s="7">
        <f t="shared" si="24"/>
        <v>-0.21836225380496549</v>
      </c>
      <c r="P319" s="9">
        <f t="shared" si="29"/>
        <v>45.245827175385465</v>
      </c>
      <c r="Q319" s="7">
        <f t="shared" si="25"/>
        <v>1.0302405417755334</v>
      </c>
      <c r="R319" s="9">
        <f t="shared" si="26"/>
        <v>5.2305218004393417E-3</v>
      </c>
      <c r="V319">
        <v>87487</v>
      </c>
      <c r="W319">
        <v>44126</v>
      </c>
      <c r="Y319">
        <v>143001</v>
      </c>
      <c r="Z319">
        <v>117252</v>
      </c>
      <c r="AB319">
        <v>25749</v>
      </c>
      <c r="AC319">
        <v>109425</v>
      </c>
    </row>
    <row r="320" spans="1:29" x14ac:dyDescent="0.3">
      <c r="A320" t="s">
        <v>330</v>
      </c>
      <c r="B320" t="s">
        <v>515</v>
      </c>
      <c r="C320">
        <v>2020</v>
      </c>
      <c r="D320" s="2">
        <v>167360</v>
      </c>
      <c r="E320" s="2">
        <v>63352</v>
      </c>
      <c r="F320" s="2">
        <v>104008</v>
      </c>
      <c r="G320" s="2">
        <v>154919</v>
      </c>
      <c r="H320" s="2">
        <v>47784</v>
      </c>
      <c r="I320" s="2">
        <v>107135</v>
      </c>
      <c r="J320" s="2">
        <v>101944</v>
      </c>
      <c r="K320" s="2">
        <v>17485000</v>
      </c>
      <c r="L320" s="2">
        <v>9119848</v>
      </c>
      <c r="M320" s="2">
        <f t="shared" si="27"/>
        <v>33472</v>
      </c>
      <c r="N320" s="2">
        <f t="shared" si="28"/>
        <v>20801.599999999999</v>
      </c>
      <c r="O320" s="7">
        <f t="shared" si="24"/>
        <v>0.65804710848895231</v>
      </c>
      <c r="P320" s="9">
        <f t="shared" si="29"/>
        <v>52.158124106376889</v>
      </c>
      <c r="Q320" s="7">
        <f t="shared" si="25"/>
        <v>0.30844505838534975</v>
      </c>
      <c r="R320" s="9">
        <f t="shared" si="26"/>
        <v>5.9484129253645985E-3</v>
      </c>
      <c r="V320">
        <v>167360</v>
      </c>
      <c r="W320">
        <v>104008</v>
      </c>
      <c r="Y320">
        <v>85349</v>
      </c>
      <c r="Z320">
        <v>-2581</v>
      </c>
      <c r="AB320">
        <v>87930</v>
      </c>
      <c r="AC320">
        <v>-18637</v>
      </c>
    </row>
    <row r="321" spans="1:29" x14ac:dyDescent="0.3">
      <c r="A321" t="s">
        <v>331</v>
      </c>
      <c r="B321" t="s">
        <v>515</v>
      </c>
      <c r="C321">
        <v>2020</v>
      </c>
      <c r="D321" s="2">
        <v>154576</v>
      </c>
      <c r="E321" s="2">
        <v>74641</v>
      </c>
      <c r="F321" s="2">
        <v>79935</v>
      </c>
      <c r="G321" s="2">
        <v>149658</v>
      </c>
      <c r="H321" s="2">
        <v>18631</v>
      </c>
      <c r="I321" s="2">
        <v>131027</v>
      </c>
      <c r="J321" s="2">
        <v>122855</v>
      </c>
      <c r="K321" s="2">
        <v>13692832</v>
      </c>
      <c r="L321" s="2">
        <v>7414473</v>
      </c>
      <c r="M321" s="2">
        <f t="shared" si="27"/>
        <v>30915.200000000001</v>
      </c>
      <c r="N321" s="2">
        <f t="shared" si="28"/>
        <v>15987</v>
      </c>
      <c r="O321" s="7">
        <f t="shared" si="24"/>
        <v>0.82090499672586836</v>
      </c>
      <c r="P321" s="9">
        <f t="shared" si="29"/>
        <v>54.148572041196438</v>
      </c>
      <c r="Q321" s="7">
        <f t="shared" si="25"/>
        <v>0.12449050501810795</v>
      </c>
      <c r="R321" s="9">
        <f t="shared" si="26"/>
        <v>5.8377258992150056E-3</v>
      </c>
      <c r="V321">
        <v>154576</v>
      </c>
      <c r="W321">
        <v>79935</v>
      </c>
      <c r="Y321">
        <v>154919</v>
      </c>
      <c r="Z321">
        <v>107135</v>
      </c>
      <c r="AB321">
        <v>47784</v>
      </c>
      <c r="AC321">
        <v>101944</v>
      </c>
    </row>
    <row r="322" spans="1:29" x14ac:dyDescent="0.3">
      <c r="A322" t="s">
        <v>332</v>
      </c>
      <c r="B322" t="s">
        <v>515</v>
      </c>
      <c r="C322">
        <v>2021</v>
      </c>
      <c r="D322" s="2">
        <v>140353</v>
      </c>
      <c r="E322" s="2">
        <v>30281</v>
      </c>
      <c r="F322" s="2">
        <v>110072</v>
      </c>
      <c r="G322" s="2">
        <v>158743</v>
      </c>
      <c r="H322" s="2">
        <v>66431</v>
      </c>
      <c r="I322" s="2">
        <v>92312</v>
      </c>
      <c r="J322" s="2">
        <v>81406</v>
      </c>
      <c r="K322" s="2">
        <v>19021366</v>
      </c>
      <c r="L322" s="2">
        <v>5518970</v>
      </c>
      <c r="M322" s="2">
        <f t="shared" si="27"/>
        <v>28070.6</v>
      </c>
      <c r="N322" s="2">
        <f t="shared" si="28"/>
        <v>22014.400000000001</v>
      </c>
      <c r="O322" s="7">
        <f t="shared" ref="O322:O385" si="30">J322/G322</f>
        <v>0.51281631316026532</v>
      </c>
      <c r="P322" s="9">
        <f t="shared" si="29"/>
        <v>29.014582864343179</v>
      </c>
      <c r="Q322" s="7">
        <f t="shared" ref="Q322:Q385" si="31">H322/G322</f>
        <v>0.41848144485111155</v>
      </c>
      <c r="R322" s="9">
        <f t="shared" ref="R322:R385" si="32">F322/K322</f>
        <v>5.7867557987160336E-3</v>
      </c>
      <c r="V322">
        <v>140353</v>
      </c>
      <c r="W322">
        <v>110072</v>
      </c>
      <c r="Y322">
        <v>149658</v>
      </c>
      <c r="Z322">
        <v>131027</v>
      </c>
      <c r="AB322">
        <v>18631</v>
      </c>
      <c r="AC322">
        <v>122855</v>
      </c>
    </row>
    <row r="323" spans="1:29" x14ac:dyDescent="0.3">
      <c r="A323" t="s">
        <v>333</v>
      </c>
      <c r="B323" t="s">
        <v>515</v>
      </c>
      <c r="C323">
        <v>2021</v>
      </c>
      <c r="D323" s="2">
        <v>101399</v>
      </c>
      <c r="E323" s="2">
        <v>33472</v>
      </c>
      <c r="F323" s="2">
        <v>67927</v>
      </c>
      <c r="G323" s="2">
        <v>137157</v>
      </c>
      <c r="H323" s="2">
        <v>88616</v>
      </c>
      <c r="I323" s="2">
        <v>48541</v>
      </c>
      <c r="J323" s="2">
        <v>39442</v>
      </c>
      <c r="K323" s="2">
        <v>11016854</v>
      </c>
      <c r="L323" s="2">
        <v>14952983</v>
      </c>
      <c r="M323" s="2">
        <f t="shared" ref="M323:M386" si="33">D323/5</f>
        <v>20279.8</v>
      </c>
      <c r="N323" s="2">
        <f t="shared" ref="N323:N386" si="34">F323/5</f>
        <v>13585.4</v>
      </c>
      <c r="O323" s="7">
        <f t="shared" si="30"/>
        <v>0.2875682611897315</v>
      </c>
      <c r="P323" s="9">
        <f t="shared" ref="P323:P386" si="35">L323/K323*100</f>
        <v>135.72824873598216</v>
      </c>
      <c r="Q323" s="7">
        <f t="shared" si="31"/>
        <v>0.64609170512624214</v>
      </c>
      <c r="R323" s="9">
        <f t="shared" si="32"/>
        <v>6.1657347914386446E-3</v>
      </c>
      <c r="V323">
        <v>101399</v>
      </c>
      <c r="W323">
        <v>67927</v>
      </c>
      <c r="Y323">
        <v>158743</v>
      </c>
      <c r="Z323">
        <v>92312</v>
      </c>
      <c r="AB323">
        <v>66431</v>
      </c>
      <c r="AC323">
        <v>81406</v>
      </c>
    </row>
    <row r="324" spans="1:29" x14ac:dyDescent="0.3">
      <c r="A324" t="s">
        <v>334</v>
      </c>
      <c r="B324" t="s">
        <v>515</v>
      </c>
      <c r="C324">
        <v>2021</v>
      </c>
      <c r="D324" s="2">
        <v>106492</v>
      </c>
      <c r="E324" s="2">
        <v>57684</v>
      </c>
      <c r="F324" s="2">
        <v>48808</v>
      </c>
      <c r="G324" s="2">
        <v>98919</v>
      </c>
      <c r="H324" s="2">
        <v>78936</v>
      </c>
      <c r="I324" s="2">
        <v>19983</v>
      </c>
      <c r="J324" s="2">
        <v>8760</v>
      </c>
      <c r="K324" s="2">
        <v>16211596</v>
      </c>
      <c r="L324" s="2">
        <v>14857400</v>
      </c>
      <c r="M324" s="2">
        <f t="shared" si="33"/>
        <v>21298.400000000001</v>
      </c>
      <c r="N324" s="2">
        <f t="shared" si="34"/>
        <v>9761.6</v>
      </c>
      <c r="O324" s="7">
        <f t="shared" si="30"/>
        <v>8.8557304461225853E-2</v>
      </c>
      <c r="P324" s="9">
        <f t="shared" si="35"/>
        <v>91.64674471285862</v>
      </c>
      <c r="Q324" s="7">
        <f t="shared" si="31"/>
        <v>0.79798623115882694</v>
      </c>
      <c r="R324" s="9">
        <f t="shared" si="32"/>
        <v>3.0106844508091617E-3</v>
      </c>
      <c r="V324">
        <v>106492</v>
      </c>
      <c r="W324">
        <v>48808</v>
      </c>
      <c r="Y324">
        <v>137157</v>
      </c>
      <c r="Z324">
        <v>48541</v>
      </c>
      <c r="AB324">
        <v>88616</v>
      </c>
      <c r="AC324">
        <v>39442</v>
      </c>
    </row>
    <row r="325" spans="1:29" x14ac:dyDescent="0.3">
      <c r="A325" t="s">
        <v>335</v>
      </c>
      <c r="B325" t="s">
        <v>515</v>
      </c>
      <c r="C325">
        <v>2021</v>
      </c>
      <c r="D325" s="2">
        <v>113530</v>
      </c>
      <c r="E325" s="2">
        <v>46224</v>
      </c>
      <c r="F325" s="2">
        <v>67306</v>
      </c>
      <c r="G325" s="2">
        <v>95094</v>
      </c>
      <c r="H325" s="2">
        <v>43082</v>
      </c>
      <c r="I325" s="2">
        <v>52012</v>
      </c>
      <c r="J325" s="2">
        <v>47301</v>
      </c>
      <c r="K325" s="2">
        <v>6780752</v>
      </c>
      <c r="L325" s="2">
        <v>6293331</v>
      </c>
      <c r="M325" s="2">
        <f t="shared" si="33"/>
        <v>22706</v>
      </c>
      <c r="N325" s="2">
        <f t="shared" si="34"/>
        <v>13461.2</v>
      </c>
      <c r="O325" s="7">
        <f t="shared" si="30"/>
        <v>0.49741308599911666</v>
      </c>
      <c r="P325" s="9">
        <f t="shared" si="35"/>
        <v>92.811696991720098</v>
      </c>
      <c r="Q325" s="7">
        <f t="shared" si="31"/>
        <v>0.45304645929291015</v>
      </c>
      <c r="R325" s="9">
        <f t="shared" si="32"/>
        <v>9.9260377020129915E-3</v>
      </c>
      <c r="V325">
        <v>113530</v>
      </c>
      <c r="W325">
        <v>67306</v>
      </c>
      <c r="Y325">
        <v>98919</v>
      </c>
      <c r="Z325">
        <v>19983</v>
      </c>
      <c r="AB325">
        <v>78936</v>
      </c>
      <c r="AC325">
        <v>8760</v>
      </c>
    </row>
    <row r="326" spans="1:29" x14ac:dyDescent="0.3">
      <c r="A326" t="s">
        <v>336</v>
      </c>
      <c r="B326" t="s">
        <v>515</v>
      </c>
      <c r="C326">
        <v>2021</v>
      </c>
      <c r="D326" s="2">
        <v>138340</v>
      </c>
      <c r="E326" s="2">
        <v>54857</v>
      </c>
      <c r="F326" s="2">
        <v>83483</v>
      </c>
      <c r="G326" s="2">
        <v>113625</v>
      </c>
      <c r="H326" s="2">
        <v>63355</v>
      </c>
      <c r="I326" s="2">
        <v>50270</v>
      </c>
      <c r="J326" s="2">
        <v>38404</v>
      </c>
      <c r="K326" s="2">
        <v>13589747</v>
      </c>
      <c r="L326" s="2">
        <v>8222798</v>
      </c>
      <c r="M326" s="2">
        <f t="shared" si="33"/>
        <v>27668</v>
      </c>
      <c r="N326" s="2">
        <f t="shared" si="34"/>
        <v>16696.599999999999</v>
      </c>
      <c r="O326" s="7">
        <f t="shared" si="30"/>
        <v>0.33798899889988998</v>
      </c>
      <c r="P326" s="9">
        <f t="shared" si="35"/>
        <v>60.507366325509956</v>
      </c>
      <c r="Q326" s="7">
        <f t="shared" si="31"/>
        <v>0.55757975797579762</v>
      </c>
      <c r="R326" s="9">
        <f t="shared" si="32"/>
        <v>6.143087137678133E-3</v>
      </c>
      <c r="V326">
        <v>138340</v>
      </c>
      <c r="W326">
        <v>83483</v>
      </c>
      <c r="Y326">
        <v>95094</v>
      </c>
      <c r="Z326">
        <v>52012</v>
      </c>
      <c r="AB326">
        <v>43082</v>
      </c>
      <c r="AC326">
        <v>47301</v>
      </c>
    </row>
    <row r="327" spans="1:29" x14ac:dyDescent="0.3">
      <c r="A327" t="s">
        <v>337</v>
      </c>
      <c r="B327" t="s">
        <v>515</v>
      </c>
      <c r="C327">
        <v>2021</v>
      </c>
      <c r="D327" s="2">
        <v>175426</v>
      </c>
      <c r="E327" s="2">
        <v>74027</v>
      </c>
      <c r="F327" s="2">
        <v>101399</v>
      </c>
      <c r="G327" s="2">
        <v>179305</v>
      </c>
      <c r="H327" s="2">
        <v>43138</v>
      </c>
      <c r="I327" s="2">
        <v>136167</v>
      </c>
      <c r="J327" s="2">
        <v>125203</v>
      </c>
      <c r="K327" s="2">
        <v>5629085</v>
      </c>
      <c r="L327" s="2">
        <v>13348533</v>
      </c>
      <c r="M327" s="2">
        <f t="shared" si="33"/>
        <v>35085.199999999997</v>
      </c>
      <c r="N327" s="2">
        <f t="shared" si="34"/>
        <v>20279.8</v>
      </c>
      <c r="O327" s="7">
        <f t="shared" si="30"/>
        <v>0.69826831376704501</v>
      </c>
      <c r="P327" s="9">
        <f t="shared" si="35"/>
        <v>237.13504059718412</v>
      </c>
      <c r="Q327" s="7">
        <f t="shared" si="31"/>
        <v>0.24058447896043056</v>
      </c>
      <c r="R327" s="9">
        <f t="shared" si="32"/>
        <v>1.8013407152316939E-2</v>
      </c>
      <c r="V327">
        <v>175426</v>
      </c>
      <c r="W327">
        <v>101399</v>
      </c>
      <c r="Y327">
        <v>113625</v>
      </c>
      <c r="Z327">
        <v>50270</v>
      </c>
      <c r="AB327">
        <v>63355</v>
      </c>
      <c r="AC327">
        <v>38404</v>
      </c>
    </row>
    <row r="328" spans="1:29" x14ac:dyDescent="0.3">
      <c r="A328" t="s">
        <v>338</v>
      </c>
      <c r="B328" t="s">
        <v>515</v>
      </c>
      <c r="C328">
        <v>2021</v>
      </c>
      <c r="D328" s="2">
        <v>176303</v>
      </c>
      <c r="E328" s="2">
        <v>15439</v>
      </c>
      <c r="F328" s="2">
        <v>160864</v>
      </c>
      <c r="G328" s="2">
        <v>228105</v>
      </c>
      <c r="H328" s="2">
        <v>57533</v>
      </c>
      <c r="I328" s="2">
        <v>170572</v>
      </c>
      <c r="J328" s="2">
        <v>155293</v>
      </c>
      <c r="K328" s="2">
        <v>17622191</v>
      </c>
      <c r="L328" s="2">
        <v>4989968</v>
      </c>
      <c r="M328" s="2">
        <f t="shared" si="33"/>
        <v>35260.6</v>
      </c>
      <c r="N328" s="2">
        <f t="shared" si="34"/>
        <v>32172.799999999999</v>
      </c>
      <c r="O328" s="7">
        <f t="shared" si="30"/>
        <v>0.68079612459174499</v>
      </c>
      <c r="P328" s="9">
        <f t="shared" si="35"/>
        <v>28.316388126765851</v>
      </c>
      <c r="Q328" s="7">
        <f t="shared" si="31"/>
        <v>0.25222156463032375</v>
      </c>
      <c r="R328" s="9">
        <f t="shared" si="32"/>
        <v>9.1284903222306462E-3</v>
      </c>
      <c r="V328">
        <v>176303</v>
      </c>
      <c r="W328">
        <v>160864</v>
      </c>
      <c r="Y328">
        <v>179305</v>
      </c>
      <c r="Z328">
        <v>136167</v>
      </c>
      <c r="AB328">
        <v>43138</v>
      </c>
      <c r="AC328">
        <v>125203</v>
      </c>
    </row>
    <row r="329" spans="1:29" x14ac:dyDescent="0.3">
      <c r="A329" t="s">
        <v>339</v>
      </c>
      <c r="B329" t="s">
        <v>515</v>
      </c>
      <c r="C329">
        <v>2021</v>
      </c>
      <c r="D329" s="2">
        <v>198702</v>
      </c>
      <c r="E329" s="2">
        <v>71063</v>
      </c>
      <c r="F329" s="2">
        <v>127639</v>
      </c>
      <c r="G329" s="2">
        <v>182783</v>
      </c>
      <c r="H329" s="2">
        <v>67161</v>
      </c>
      <c r="I329" s="2">
        <v>115622</v>
      </c>
      <c r="J329" s="2">
        <v>101798</v>
      </c>
      <c r="K329" s="2">
        <v>11473507</v>
      </c>
      <c r="L329" s="2">
        <v>10437693</v>
      </c>
      <c r="M329" s="2">
        <f t="shared" si="33"/>
        <v>39740.400000000001</v>
      </c>
      <c r="N329" s="2">
        <f t="shared" si="34"/>
        <v>25527.8</v>
      </c>
      <c r="O329" s="7">
        <f t="shared" si="30"/>
        <v>0.55693363168347165</v>
      </c>
      <c r="P329" s="9">
        <f t="shared" si="35"/>
        <v>90.972123867619544</v>
      </c>
      <c r="Q329" s="7">
        <f t="shared" si="31"/>
        <v>0.36743570244497575</v>
      </c>
      <c r="R329" s="9">
        <f t="shared" si="32"/>
        <v>1.1124671820045954E-2</v>
      </c>
      <c r="V329">
        <v>198702</v>
      </c>
      <c r="W329">
        <v>127639</v>
      </c>
      <c r="Y329">
        <v>228105</v>
      </c>
      <c r="Z329">
        <v>170572</v>
      </c>
      <c r="AB329">
        <v>67161</v>
      </c>
      <c r="AC329">
        <v>101798</v>
      </c>
    </row>
    <row r="330" spans="1:29" x14ac:dyDescent="0.3">
      <c r="A330" t="s">
        <v>340</v>
      </c>
      <c r="B330" t="s">
        <v>515</v>
      </c>
      <c r="C330">
        <v>2021</v>
      </c>
      <c r="D330" s="2">
        <v>188051</v>
      </c>
      <c r="E330" s="2">
        <v>36189</v>
      </c>
      <c r="F330" s="2">
        <v>151862</v>
      </c>
      <c r="G330" s="2">
        <v>214462</v>
      </c>
      <c r="H330" s="2">
        <v>74560</v>
      </c>
      <c r="I330" s="2">
        <v>139902</v>
      </c>
      <c r="J330" s="2">
        <v>125398</v>
      </c>
      <c r="K330" s="2">
        <v>17706169</v>
      </c>
      <c r="L330" s="2">
        <v>10270518</v>
      </c>
      <c r="M330" s="2">
        <f t="shared" si="33"/>
        <v>37610.199999999997</v>
      </c>
      <c r="N330" s="2">
        <f t="shared" si="34"/>
        <v>30372.400000000001</v>
      </c>
      <c r="O330" s="7">
        <f t="shared" si="30"/>
        <v>0.58470964553160931</v>
      </c>
      <c r="P330" s="9">
        <f t="shared" si="35"/>
        <v>58.005308771197207</v>
      </c>
      <c r="Q330" s="7">
        <f t="shared" si="31"/>
        <v>0.34766065783215677</v>
      </c>
      <c r="R330" s="9">
        <f t="shared" si="32"/>
        <v>8.5767847353089201E-3</v>
      </c>
      <c r="V330">
        <v>188051</v>
      </c>
      <c r="W330">
        <v>151862</v>
      </c>
      <c r="Y330">
        <v>182783</v>
      </c>
      <c r="Z330">
        <v>115622</v>
      </c>
      <c r="AB330">
        <v>74560</v>
      </c>
      <c r="AC330">
        <v>125398</v>
      </c>
    </row>
    <row r="331" spans="1:29" x14ac:dyDescent="0.3">
      <c r="A331" t="s">
        <v>341</v>
      </c>
      <c r="B331" t="s">
        <v>515</v>
      </c>
      <c r="C331">
        <v>2021</v>
      </c>
      <c r="D331" s="2">
        <v>136205</v>
      </c>
      <c r="E331" s="2">
        <v>16910</v>
      </c>
      <c r="F331" s="2">
        <v>119295</v>
      </c>
      <c r="G331" s="2">
        <v>197008</v>
      </c>
      <c r="H331" s="2">
        <v>61857</v>
      </c>
      <c r="I331" s="2">
        <v>135151</v>
      </c>
      <c r="J331" s="2">
        <v>130955</v>
      </c>
      <c r="K331" s="2">
        <v>6003171</v>
      </c>
      <c r="L331" s="2">
        <v>10214938</v>
      </c>
      <c r="M331" s="2">
        <f t="shared" si="33"/>
        <v>27241</v>
      </c>
      <c r="N331" s="2">
        <f t="shared" si="34"/>
        <v>23859</v>
      </c>
      <c r="O331" s="7">
        <f t="shared" si="30"/>
        <v>0.66471919922033618</v>
      </c>
      <c r="P331" s="9">
        <f t="shared" si="35"/>
        <v>170.15903761528699</v>
      </c>
      <c r="Q331" s="7">
        <f t="shared" si="31"/>
        <v>0.31398217331275885</v>
      </c>
      <c r="R331" s="9">
        <f t="shared" si="32"/>
        <v>1.9871997649242374E-2</v>
      </c>
      <c r="V331">
        <v>136205</v>
      </c>
      <c r="W331">
        <v>119295</v>
      </c>
      <c r="Y331">
        <v>214462</v>
      </c>
      <c r="Z331">
        <v>139902</v>
      </c>
      <c r="AB331">
        <v>61857</v>
      </c>
      <c r="AC331">
        <v>130955</v>
      </c>
    </row>
    <row r="332" spans="1:29" x14ac:dyDescent="0.3">
      <c r="A332" t="s">
        <v>342</v>
      </c>
      <c r="B332" t="s">
        <v>515</v>
      </c>
      <c r="C332">
        <v>2021</v>
      </c>
      <c r="D332" s="2">
        <v>67153</v>
      </c>
      <c r="E332" s="2">
        <v>69765</v>
      </c>
      <c r="F332" s="2">
        <v>-2612</v>
      </c>
      <c r="G332" s="2">
        <v>116472</v>
      </c>
      <c r="H332" s="2">
        <v>54071</v>
      </c>
      <c r="I332" s="2">
        <v>62401</v>
      </c>
      <c r="J332" s="2">
        <v>45715</v>
      </c>
      <c r="K332" s="2">
        <v>10312399</v>
      </c>
      <c r="L332" s="2">
        <v>3981883</v>
      </c>
      <c r="M332" s="2">
        <f t="shared" si="33"/>
        <v>13430.6</v>
      </c>
      <c r="N332" s="2">
        <f t="shared" si="34"/>
        <v>-522.4</v>
      </c>
      <c r="O332" s="7">
        <f t="shared" si="30"/>
        <v>0.39249776770382583</v>
      </c>
      <c r="P332" s="9">
        <f t="shared" si="35"/>
        <v>38.612576957117348</v>
      </c>
      <c r="Q332" s="7">
        <f t="shared" si="31"/>
        <v>0.46424033244041485</v>
      </c>
      <c r="R332" s="9">
        <f t="shared" si="32"/>
        <v>-2.5328732916559961E-4</v>
      </c>
      <c r="V332">
        <v>67153</v>
      </c>
      <c r="W332">
        <v>-2612</v>
      </c>
      <c r="Y332">
        <v>197008</v>
      </c>
      <c r="Z332">
        <v>135151</v>
      </c>
      <c r="AB332">
        <v>54071</v>
      </c>
      <c r="AC332">
        <v>45715</v>
      </c>
    </row>
    <row r="333" spans="1:29" x14ac:dyDescent="0.3">
      <c r="A333" t="s">
        <v>343</v>
      </c>
      <c r="B333" t="s">
        <v>515</v>
      </c>
      <c r="C333">
        <v>2021</v>
      </c>
      <c r="D333" s="2">
        <v>145457</v>
      </c>
      <c r="E333" s="2">
        <v>67866</v>
      </c>
      <c r="F333" s="2">
        <v>77591</v>
      </c>
      <c r="G333" s="2">
        <v>114496</v>
      </c>
      <c r="H333" s="2">
        <v>60838</v>
      </c>
      <c r="I333" s="2">
        <v>53658</v>
      </c>
      <c r="J333" s="2">
        <v>39426</v>
      </c>
      <c r="K333" s="2">
        <v>9609688</v>
      </c>
      <c r="L333" s="2">
        <v>7264423</v>
      </c>
      <c r="M333" s="2">
        <f t="shared" si="33"/>
        <v>29091.4</v>
      </c>
      <c r="N333" s="2">
        <f t="shared" si="34"/>
        <v>15518.2</v>
      </c>
      <c r="O333" s="7">
        <f t="shared" si="30"/>
        <v>0.34434390721073227</v>
      </c>
      <c r="P333" s="9">
        <f t="shared" si="35"/>
        <v>75.5947851792899</v>
      </c>
      <c r="Q333" s="7">
        <f t="shared" si="31"/>
        <v>0.53135480715483507</v>
      </c>
      <c r="R333" s="9">
        <f t="shared" si="32"/>
        <v>8.0742475718254322E-3</v>
      </c>
      <c r="V333">
        <v>145457</v>
      </c>
      <c r="W333">
        <v>77591</v>
      </c>
      <c r="Y333">
        <v>116472</v>
      </c>
      <c r="Z333">
        <v>62401</v>
      </c>
      <c r="AB333">
        <v>60838</v>
      </c>
      <c r="AC333">
        <v>39426</v>
      </c>
    </row>
    <row r="334" spans="1:29" x14ac:dyDescent="0.3">
      <c r="A334" t="s">
        <v>344</v>
      </c>
      <c r="B334" t="s">
        <v>515</v>
      </c>
      <c r="C334">
        <v>2021</v>
      </c>
      <c r="D334" s="2">
        <v>88714</v>
      </c>
      <c r="E334" s="2">
        <v>64093</v>
      </c>
      <c r="F334" s="2">
        <v>24621</v>
      </c>
      <c r="G334" s="2">
        <v>100040</v>
      </c>
      <c r="H334" s="2">
        <v>64145</v>
      </c>
      <c r="I334" s="2">
        <v>35895</v>
      </c>
      <c r="J334" s="2">
        <v>26767</v>
      </c>
      <c r="K334" s="2">
        <v>12170837</v>
      </c>
      <c r="L334" s="2">
        <v>4519603</v>
      </c>
      <c r="M334" s="2">
        <f t="shared" si="33"/>
        <v>17742.8</v>
      </c>
      <c r="N334" s="2">
        <f t="shared" si="34"/>
        <v>4924.2</v>
      </c>
      <c r="O334" s="7">
        <f t="shared" si="30"/>
        <v>0.26756297481007596</v>
      </c>
      <c r="P334" s="9">
        <f t="shared" si="35"/>
        <v>37.134693365789055</v>
      </c>
      <c r="Q334" s="7">
        <f t="shared" si="31"/>
        <v>0.64119352259096363</v>
      </c>
      <c r="R334" s="9">
        <f t="shared" si="32"/>
        <v>2.0229504347153773E-3</v>
      </c>
      <c r="V334">
        <v>88714</v>
      </c>
      <c r="W334">
        <v>24621</v>
      </c>
      <c r="Y334">
        <v>114496</v>
      </c>
      <c r="Z334">
        <v>53658</v>
      </c>
      <c r="AB334">
        <v>64145</v>
      </c>
      <c r="AC334">
        <v>26767</v>
      </c>
    </row>
    <row r="335" spans="1:29" x14ac:dyDescent="0.3">
      <c r="A335" t="s">
        <v>345</v>
      </c>
      <c r="B335" t="s">
        <v>515</v>
      </c>
      <c r="C335">
        <v>2021</v>
      </c>
      <c r="D335" s="2">
        <v>183533</v>
      </c>
      <c r="E335" s="2">
        <v>24291</v>
      </c>
      <c r="F335" s="2">
        <v>159242</v>
      </c>
      <c r="G335" s="2">
        <v>226046</v>
      </c>
      <c r="H335" s="2">
        <v>91971</v>
      </c>
      <c r="I335" s="2">
        <v>134075</v>
      </c>
      <c r="J335" s="2">
        <v>131390</v>
      </c>
      <c r="K335" s="2">
        <v>9278384</v>
      </c>
      <c r="L335" s="2">
        <v>8495671</v>
      </c>
      <c r="M335" s="2">
        <f t="shared" si="33"/>
        <v>36706.6</v>
      </c>
      <c r="N335" s="2">
        <f t="shared" si="34"/>
        <v>31848.400000000001</v>
      </c>
      <c r="O335" s="7">
        <f t="shared" si="30"/>
        <v>0.58125337320722326</v>
      </c>
      <c r="P335" s="9">
        <f t="shared" si="35"/>
        <v>91.56412366636259</v>
      </c>
      <c r="Q335" s="7">
        <f t="shared" si="31"/>
        <v>0.40686851348840503</v>
      </c>
      <c r="R335" s="9">
        <f t="shared" si="32"/>
        <v>1.7162686950658649E-2</v>
      </c>
      <c r="V335">
        <v>183533</v>
      </c>
      <c r="W335">
        <v>159242</v>
      </c>
      <c r="Y335">
        <v>100040</v>
      </c>
      <c r="Z335">
        <v>35895</v>
      </c>
      <c r="AB335">
        <v>91971</v>
      </c>
      <c r="AC335">
        <v>131390</v>
      </c>
    </row>
    <row r="336" spans="1:29" x14ac:dyDescent="0.3">
      <c r="A336" t="s">
        <v>346</v>
      </c>
      <c r="B336" t="s">
        <v>515</v>
      </c>
      <c r="C336">
        <v>2021</v>
      </c>
      <c r="D336" s="2">
        <v>127794</v>
      </c>
      <c r="E336" s="2">
        <v>40841</v>
      </c>
      <c r="F336" s="2">
        <v>86953</v>
      </c>
      <c r="G336" s="2">
        <v>155711</v>
      </c>
      <c r="H336" s="2">
        <v>91272</v>
      </c>
      <c r="I336" s="2">
        <v>64439</v>
      </c>
      <c r="J336" s="2">
        <v>57564</v>
      </c>
      <c r="K336" s="2">
        <v>9113640</v>
      </c>
      <c r="L336" s="2">
        <v>7500398</v>
      </c>
      <c r="M336" s="2">
        <f t="shared" si="33"/>
        <v>25558.799999999999</v>
      </c>
      <c r="N336" s="2">
        <f t="shared" si="34"/>
        <v>17390.599999999999</v>
      </c>
      <c r="O336" s="7">
        <f t="shared" si="30"/>
        <v>0.36968486490999353</v>
      </c>
      <c r="P336" s="9">
        <f t="shared" si="35"/>
        <v>82.298598584100318</v>
      </c>
      <c r="Q336" s="7">
        <f t="shared" si="31"/>
        <v>0.58616282728901614</v>
      </c>
      <c r="R336" s="9">
        <f t="shared" si="32"/>
        <v>9.540973749237406E-3</v>
      </c>
      <c r="V336">
        <v>127794</v>
      </c>
      <c r="W336">
        <v>86953</v>
      </c>
      <c r="Y336">
        <v>226046</v>
      </c>
      <c r="Z336">
        <v>134075</v>
      </c>
      <c r="AB336">
        <v>91272</v>
      </c>
      <c r="AC336">
        <v>57564</v>
      </c>
    </row>
    <row r="337" spans="1:29" x14ac:dyDescent="0.3">
      <c r="A337" t="s">
        <v>347</v>
      </c>
      <c r="B337" t="s">
        <v>515</v>
      </c>
      <c r="C337">
        <v>2021</v>
      </c>
      <c r="D337" s="2">
        <v>150500</v>
      </c>
      <c r="E337" s="2">
        <v>38044</v>
      </c>
      <c r="F337" s="2">
        <v>112456</v>
      </c>
      <c r="G337" s="2">
        <v>148453</v>
      </c>
      <c r="H337" s="2">
        <v>94751</v>
      </c>
      <c r="I337" s="2">
        <v>53702</v>
      </c>
      <c r="J337" s="2">
        <v>51401</v>
      </c>
      <c r="K337" s="2">
        <v>13281447</v>
      </c>
      <c r="L337" s="2">
        <v>6895958</v>
      </c>
      <c r="M337" s="2">
        <f t="shared" si="33"/>
        <v>30100</v>
      </c>
      <c r="N337" s="2">
        <f t="shared" si="34"/>
        <v>22491.200000000001</v>
      </c>
      <c r="O337" s="7">
        <f t="shared" si="30"/>
        <v>0.34624426586192264</v>
      </c>
      <c r="P337" s="9">
        <f t="shared" si="35"/>
        <v>51.921737142044847</v>
      </c>
      <c r="Q337" s="7">
        <f t="shared" si="31"/>
        <v>0.63825587896505964</v>
      </c>
      <c r="R337" s="9">
        <f t="shared" si="32"/>
        <v>8.467149701384194E-3</v>
      </c>
      <c r="V337">
        <v>150500</v>
      </c>
      <c r="W337">
        <v>112456</v>
      </c>
      <c r="Y337">
        <v>155711</v>
      </c>
      <c r="Z337">
        <v>64439</v>
      </c>
      <c r="AB337">
        <v>94751</v>
      </c>
      <c r="AC337">
        <v>51401</v>
      </c>
    </row>
    <row r="338" spans="1:29" x14ac:dyDescent="0.3">
      <c r="A338" t="s">
        <v>348</v>
      </c>
      <c r="B338" t="s">
        <v>515</v>
      </c>
      <c r="C338">
        <v>2021</v>
      </c>
      <c r="D338" s="2">
        <v>195643</v>
      </c>
      <c r="E338" s="2">
        <v>67941</v>
      </c>
      <c r="F338" s="2">
        <v>127702</v>
      </c>
      <c r="G338" s="2">
        <v>205707</v>
      </c>
      <c r="H338" s="2">
        <v>73712</v>
      </c>
      <c r="I338" s="2">
        <v>131995</v>
      </c>
      <c r="J338" s="2">
        <v>119222</v>
      </c>
      <c r="K338" s="2">
        <v>7120539</v>
      </c>
      <c r="L338" s="2">
        <v>3880412</v>
      </c>
      <c r="M338" s="2">
        <f t="shared" si="33"/>
        <v>39128.6</v>
      </c>
      <c r="N338" s="2">
        <f t="shared" si="34"/>
        <v>25540.400000000001</v>
      </c>
      <c r="O338" s="7">
        <f t="shared" si="30"/>
        <v>0.57957191539422581</v>
      </c>
      <c r="P338" s="9">
        <f t="shared" si="35"/>
        <v>54.496043066402699</v>
      </c>
      <c r="Q338" s="7">
        <f t="shared" si="31"/>
        <v>0.35833491325039984</v>
      </c>
      <c r="R338" s="9">
        <f t="shared" si="32"/>
        <v>1.7934316489243301E-2</v>
      </c>
      <c r="V338">
        <v>195643</v>
      </c>
      <c r="W338">
        <v>127702</v>
      </c>
      <c r="Y338">
        <v>148453</v>
      </c>
      <c r="Z338">
        <v>53702</v>
      </c>
      <c r="AB338">
        <v>73712</v>
      </c>
      <c r="AC338">
        <v>119222</v>
      </c>
    </row>
    <row r="339" spans="1:29" x14ac:dyDescent="0.3">
      <c r="A339" t="s">
        <v>349</v>
      </c>
      <c r="B339" t="s">
        <v>515</v>
      </c>
      <c r="C339">
        <v>2021</v>
      </c>
      <c r="D339" s="2">
        <v>135457</v>
      </c>
      <c r="E339" s="2">
        <v>23057</v>
      </c>
      <c r="F339" s="2">
        <v>112400</v>
      </c>
      <c r="G339" s="2">
        <v>196428</v>
      </c>
      <c r="H339" s="2">
        <v>70731</v>
      </c>
      <c r="I339" s="2">
        <v>125697</v>
      </c>
      <c r="J339" s="2">
        <v>107776</v>
      </c>
      <c r="K339" s="2">
        <v>16054686</v>
      </c>
      <c r="L339" s="2">
        <v>3484814</v>
      </c>
      <c r="M339" s="2">
        <f t="shared" si="33"/>
        <v>27091.4</v>
      </c>
      <c r="N339" s="2">
        <f t="shared" si="34"/>
        <v>22480</v>
      </c>
      <c r="O339" s="7">
        <f t="shared" si="30"/>
        <v>0.54867941434011447</v>
      </c>
      <c r="P339" s="9">
        <f t="shared" si="35"/>
        <v>21.705899448921016</v>
      </c>
      <c r="Q339" s="7">
        <f t="shared" si="31"/>
        <v>0.36008613843240272</v>
      </c>
      <c r="R339" s="9">
        <f t="shared" si="32"/>
        <v>7.0010712137253883E-3</v>
      </c>
      <c r="V339">
        <v>135457</v>
      </c>
      <c r="W339">
        <v>112400</v>
      </c>
      <c r="Y339">
        <v>205707</v>
      </c>
      <c r="Z339">
        <v>131995</v>
      </c>
      <c r="AB339">
        <v>70731</v>
      </c>
      <c r="AC339">
        <v>107776</v>
      </c>
    </row>
    <row r="340" spans="1:29" x14ac:dyDescent="0.3">
      <c r="A340" t="s">
        <v>350</v>
      </c>
      <c r="B340" t="s">
        <v>515</v>
      </c>
      <c r="C340">
        <v>2021</v>
      </c>
      <c r="D340" s="2">
        <v>70567</v>
      </c>
      <c r="E340" s="2">
        <v>39739</v>
      </c>
      <c r="F340" s="2">
        <v>30828</v>
      </c>
      <c r="G340" s="2">
        <v>108632</v>
      </c>
      <c r="H340" s="2">
        <v>18754</v>
      </c>
      <c r="I340" s="2">
        <v>89878</v>
      </c>
      <c r="J340" s="2">
        <v>86154</v>
      </c>
      <c r="K340" s="2">
        <v>10309792</v>
      </c>
      <c r="L340" s="2">
        <v>5353847</v>
      </c>
      <c r="M340" s="2">
        <f t="shared" si="33"/>
        <v>14113.4</v>
      </c>
      <c r="N340" s="2">
        <f t="shared" si="34"/>
        <v>6165.6</v>
      </c>
      <c r="O340" s="7">
        <f t="shared" si="30"/>
        <v>0.79308122836733186</v>
      </c>
      <c r="P340" s="9">
        <f t="shared" si="35"/>
        <v>51.929728553204569</v>
      </c>
      <c r="Q340" s="7">
        <f t="shared" si="31"/>
        <v>0.17263789675233818</v>
      </c>
      <c r="R340" s="9">
        <f t="shared" si="32"/>
        <v>2.9901670179184993E-3</v>
      </c>
      <c r="V340">
        <v>70567</v>
      </c>
      <c r="W340">
        <v>30828</v>
      </c>
      <c r="Y340">
        <v>196428</v>
      </c>
      <c r="Z340">
        <v>125697</v>
      </c>
      <c r="AB340">
        <v>18754</v>
      </c>
      <c r="AC340">
        <v>86154</v>
      </c>
    </row>
    <row r="341" spans="1:29" x14ac:dyDescent="0.3">
      <c r="A341" t="s">
        <v>351</v>
      </c>
      <c r="B341" t="s">
        <v>515</v>
      </c>
      <c r="C341">
        <v>2021</v>
      </c>
      <c r="D341" s="2">
        <v>58706</v>
      </c>
      <c r="E341" s="2">
        <v>18894</v>
      </c>
      <c r="F341" s="2">
        <v>39812</v>
      </c>
      <c r="G341" s="2">
        <v>77849</v>
      </c>
      <c r="H341" s="2">
        <v>98986</v>
      </c>
      <c r="I341" s="2">
        <v>-21137</v>
      </c>
      <c r="J341" s="2">
        <v>-39543</v>
      </c>
      <c r="K341" s="2">
        <v>10949852</v>
      </c>
      <c r="L341" s="2">
        <v>3029725</v>
      </c>
      <c r="M341" s="2">
        <f t="shared" si="33"/>
        <v>11741.2</v>
      </c>
      <c r="N341" s="2">
        <f t="shared" si="34"/>
        <v>7962.4</v>
      </c>
      <c r="O341" s="7">
        <f t="shared" si="30"/>
        <v>-0.50794486762835744</v>
      </c>
      <c r="P341" s="9">
        <f t="shared" si="35"/>
        <v>27.669095436175756</v>
      </c>
      <c r="Q341" s="7">
        <f t="shared" si="31"/>
        <v>1.2715128004213285</v>
      </c>
      <c r="R341" s="9">
        <f t="shared" si="32"/>
        <v>3.6358482288162434E-3</v>
      </c>
      <c r="V341">
        <v>58706</v>
      </c>
      <c r="W341">
        <v>39812</v>
      </c>
      <c r="Y341">
        <v>108632</v>
      </c>
      <c r="Z341">
        <v>89878</v>
      </c>
      <c r="AB341">
        <v>98986</v>
      </c>
      <c r="AC341">
        <v>-39543</v>
      </c>
    </row>
    <row r="342" spans="1:29" x14ac:dyDescent="0.3">
      <c r="A342" t="s">
        <v>352</v>
      </c>
      <c r="B342" t="s">
        <v>515</v>
      </c>
      <c r="C342">
        <v>2022</v>
      </c>
      <c r="D342" s="2">
        <v>186998</v>
      </c>
      <c r="E342" s="2">
        <v>19496</v>
      </c>
      <c r="F342" s="2">
        <v>167502</v>
      </c>
      <c r="G342" s="2">
        <v>243949</v>
      </c>
      <c r="H342" s="2">
        <v>44806</v>
      </c>
      <c r="I342" s="2">
        <v>199143</v>
      </c>
      <c r="J342" s="2">
        <v>188590</v>
      </c>
      <c r="K342" s="2">
        <v>19408889</v>
      </c>
      <c r="L342" s="2">
        <v>9524559</v>
      </c>
      <c r="M342" s="2">
        <f t="shared" si="33"/>
        <v>37399.599999999999</v>
      </c>
      <c r="N342" s="2">
        <f t="shared" si="34"/>
        <v>33500.400000000001</v>
      </c>
      <c r="O342" s="7">
        <f t="shared" si="30"/>
        <v>0.77307142066579493</v>
      </c>
      <c r="P342" s="9">
        <f t="shared" si="35"/>
        <v>49.073179819823793</v>
      </c>
      <c r="Q342" s="7">
        <f t="shared" si="31"/>
        <v>0.18366953748529405</v>
      </c>
      <c r="R342" s="9">
        <f t="shared" si="32"/>
        <v>8.6301694033079374E-3</v>
      </c>
      <c r="V342">
        <v>186998</v>
      </c>
      <c r="W342">
        <v>167502</v>
      </c>
      <c r="Y342">
        <v>77849</v>
      </c>
      <c r="Z342">
        <v>-21137</v>
      </c>
      <c r="AB342">
        <v>44806</v>
      </c>
      <c r="AC342">
        <v>188590</v>
      </c>
    </row>
    <row r="343" spans="1:29" x14ac:dyDescent="0.3">
      <c r="A343" t="s">
        <v>353</v>
      </c>
      <c r="B343" t="s">
        <v>515</v>
      </c>
      <c r="C343">
        <v>2022</v>
      </c>
      <c r="D343" s="2">
        <v>105147</v>
      </c>
      <c r="E343" s="2">
        <v>59666</v>
      </c>
      <c r="F343" s="2">
        <v>45481</v>
      </c>
      <c r="G343" s="2">
        <v>147849</v>
      </c>
      <c r="H343" s="2">
        <v>53787</v>
      </c>
      <c r="I343" s="2">
        <v>94062</v>
      </c>
      <c r="J343" s="2">
        <v>76599</v>
      </c>
      <c r="K343" s="2">
        <v>15941922</v>
      </c>
      <c r="L343" s="2">
        <v>6909439</v>
      </c>
      <c r="M343" s="2">
        <f t="shared" si="33"/>
        <v>21029.4</v>
      </c>
      <c r="N343" s="2">
        <f t="shared" si="34"/>
        <v>9096.2000000000007</v>
      </c>
      <c r="O343" s="7">
        <f t="shared" si="30"/>
        <v>0.51808940202503906</v>
      </c>
      <c r="P343" s="9">
        <f t="shared" si="35"/>
        <v>43.341317314185829</v>
      </c>
      <c r="Q343" s="7">
        <f t="shared" si="31"/>
        <v>0.36379684678286628</v>
      </c>
      <c r="R343" s="9">
        <f t="shared" si="32"/>
        <v>2.8529182365840205E-3</v>
      </c>
      <c r="V343">
        <v>105147</v>
      </c>
      <c r="W343">
        <v>45481</v>
      </c>
      <c r="Y343">
        <v>243949</v>
      </c>
      <c r="Z343">
        <v>199143</v>
      </c>
      <c r="AB343">
        <v>53787</v>
      </c>
      <c r="AC343">
        <v>76599</v>
      </c>
    </row>
    <row r="344" spans="1:29" x14ac:dyDescent="0.3">
      <c r="A344" t="s">
        <v>354</v>
      </c>
      <c r="B344" t="s">
        <v>515</v>
      </c>
      <c r="C344">
        <v>2022</v>
      </c>
      <c r="D344" s="2">
        <v>145081</v>
      </c>
      <c r="E344" s="2">
        <v>78056</v>
      </c>
      <c r="F344" s="2">
        <v>67025</v>
      </c>
      <c r="G344" s="2">
        <v>90106</v>
      </c>
      <c r="H344" s="2">
        <v>49196</v>
      </c>
      <c r="I344" s="2">
        <v>40910</v>
      </c>
      <c r="J344" s="2">
        <v>34943</v>
      </c>
      <c r="K344" s="2">
        <v>16245869</v>
      </c>
      <c r="L344" s="2">
        <v>14614438</v>
      </c>
      <c r="M344" s="2">
        <f t="shared" si="33"/>
        <v>29016.2</v>
      </c>
      <c r="N344" s="2">
        <f t="shared" si="34"/>
        <v>13405</v>
      </c>
      <c r="O344" s="7">
        <f t="shared" si="30"/>
        <v>0.38779881472931882</v>
      </c>
      <c r="P344" s="9">
        <f t="shared" si="35"/>
        <v>89.957871751889655</v>
      </c>
      <c r="Q344" s="7">
        <f t="shared" si="31"/>
        <v>0.54597918007679846</v>
      </c>
      <c r="R344" s="9">
        <f t="shared" si="32"/>
        <v>4.125664191924729E-3</v>
      </c>
      <c r="V344">
        <v>145081</v>
      </c>
      <c r="W344">
        <v>67025</v>
      </c>
      <c r="Y344">
        <v>147849</v>
      </c>
      <c r="Z344">
        <v>94062</v>
      </c>
      <c r="AB344">
        <v>49196</v>
      </c>
      <c r="AC344">
        <v>34943</v>
      </c>
    </row>
    <row r="345" spans="1:29" x14ac:dyDescent="0.3">
      <c r="A345" t="s">
        <v>355</v>
      </c>
      <c r="B345" t="s">
        <v>515</v>
      </c>
      <c r="C345">
        <v>2022</v>
      </c>
      <c r="D345" s="2">
        <v>126865</v>
      </c>
      <c r="E345" s="2">
        <v>41656</v>
      </c>
      <c r="F345" s="2">
        <v>85209</v>
      </c>
      <c r="G345" s="2">
        <v>172904</v>
      </c>
      <c r="H345" s="2">
        <v>52900</v>
      </c>
      <c r="I345" s="2">
        <v>120004</v>
      </c>
      <c r="J345" s="2">
        <v>103071</v>
      </c>
      <c r="K345" s="2">
        <v>6681641</v>
      </c>
      <c r="L345" s="2">
        <v>3516409</v>
      </c>
      <c r="M345" s="2">
        <f t="shared" si="33"/>
        <v>25373</v>
      </c>
      <c r="N345" s="2">
        <f t="shared" si="34"/>
        <v>17041.8</v>
      </c>
      <c r="O345" s="7">
        <f t="shared" si="30"/>
        <v>0.59611692037199837</v>
      </c>
      <c r="P345" s="9">
        <f t="shared" si="35"/>
        <v>52.627924786740266</v>
      </c>
      <c r="Q345" s="7">
        <f t="shared" si="31"/>
        <v>0.30595012261139132</v>
      </c>
      <c r="R345" s="9">
        <f t="shared" si="32"/>
        <v>1.2752705510517551E-2</v>
      </c>
      <c r="V345">
        <v>126865</v>
      </c>
      <c r="W345">
        <v>85209</v>
      </c>
      <c r="Y345">
        <v>90106</v>
      </c>
      <c r="Z345">
        <v>40910</v>
      </c>
      <c r="AB345">
        <v>52900</v>
      </c>
      <c r="AC345">
        <v>103071</v>
      </c>
    </row>
    <row r="346" spans="1:29" x14ac:dyDescent="0.3">
      <c r="A346" t="s">
        <v>356</v>
      </c>
      <c r="B346" t="s">
        <v>515</v>
      </c>
      <c r="C346">
        <v>2022</v>
      </c>
      <c r="D346" s="2">
        <v>191877</v>
      </c>
      <c r="E346" s="2">
        <v>45851</v>
      </c>
      <c r="F346" s="2">
        <v>146026</v>
      </c>
      <c r="G346" s="2">
        <v>192858</v>
      </c>
      <c r="H346" s="2">
        <v>78437</v>
      </c>
      <c r="I346" s="2">
        <v>114421</v>
      </c>
      <c r="J346" s="2">
        <v>95000</v>
      </c>
      <c r="K346" s="2">
        <v>19825080</v>
      </c>
      <c r="L346" s="2">
        <v>7476321</v>
      </c>
      <c r="M346" s="2">
        <f t="shared" si="33"/>
        <v>38375.4</v>
      </c>
      <c r="N346" s="2">
        <f t="shared" si="34"/>
        <v>29205.200000000001</v>
      </c>
      <c r="O346" s="7">
        <f t="shared" si="30"/>
        <v>0.49259040330191123</v>
      </c>
      <c r="P346" s="9">
        <f t="shared" si="35"/>
        <v>37.711429159428363</v>
      </c>
      <c r="Q346" s="7">
        <f t="shared" si="31"/>
        <v>0.40670856277675804</v>
      </c>
      <c r="R346" s="9">
        <f t="shared" si="32"/>
        <v>7.3657205923002584E-3</v>
      </c>
      <c r="V346">
        <v>191877</v>
      </c>
      <c r="W346">
        <v>146026</v>
      </c>
      <c r="Y346">
        <v>172904</v>
      </c>
      <c r="Z346">
        <v>120004</v>
      </c>
      <c r="AB346">
        <v>78437</v>
      </c>
      <c r="AC346">
        <v>95000</v>
      </c>
    </row>
    <row r="347" spans="1:29" x14ac:dyDescent="0.3">
      <c r="A347" t="s">
        <v>357</v>
      </c>
      <c r="B347" t="s">
        <v>515</v>
      </c>
      <c r="C347">
        <v>2022</v>
      </c>
      <c r="D347" s="2">
        <v>90372</v>
      </c>
      <c r="E347" s="2">
        <v>25379</v>
      </c>
      <c r="F347" s="2">
        <v>64993</v>
      </c>
      <c r="G347" s="2">
        <v>121744</v>
      </c>
      <c r="H347" s="2">
        <v>20110</v>
      </c>
      <c r="I347" s="2">
        <v>101634</v>
      </c>
      <c r="J347" s="2">
        <v>87547</v>
      </c>
      <c r="K347" s="2">
        <v>13805586</v>
      </c>
      <c r="L347" s="2">
        <v>4033316</v>
      </c>
      <c r="M347" s="2">
        <f t="shared" si="33"/>
        <v>18074.400000000001</v>
      </c>
      <c r="N347" s="2">
        <f t="shared" si="34"/>
        <v>12998.6</v>
      </c>
      <c r="O347" s="7">
        <f t="shared" si="30"/>
        <v>0.71910730713628601</v>
      </c>
      <c r="P347" s="9">
        <f t="shared" si="35"/>
        <v>29.21510177112366</v>
      </c>
      <c r="Q347" s="7">
        <f t="shared" si="31"/>
        <v>0.16518267840714942</v>
      </c>
      <c r="R347" s="9">
        <f t="shared" si="32"/>
        <v>4.7077320730898346E-3</v>
      </c>
      <c r="V347">
        <v>90372</v>
      </c>
      <c r="W347">
        <v>64993</v>
      </c>
      <c r="Y347">
        <v>192858</v>
      </c>
      <c r="Z347">
        <v>114421</v>
      </c>
      <c r="AB347">
        <v>20110</v>
      </c>
      <c r="AC347">
        <v>87547</v>
      </c>
    </row>
    <row r="348" spans="1:29" x14ac:dyDescent="0.3">
      <c r="A348" t="s">
        <v>358</v>
      </c>
      <c r="B348" t="s">
        <v>515</v>
      </c>
      <c r="C348">
        <v>2022</v>
      </c>
      <c r="D348" s="2">
        <v>132617</v>
      </c>
      <c r="E348" s="2">
        <v>19596</v>
      </c>
      <c r="F348" s="2">
        <v>113021</v>
      </c>
      <c r="G348" s="2">
        <v>151334</v>
      </c>
      <c r="H348" s="2">
        <v>81549</v>
      </c>
      <c r="I348" s="2">
        <v>69785</v>
      </c>
      <c r="J348" s="2">
        <v>51175</v>
      </c>
      <c r="K348" s="2">
        <v>9742297</v>
      </c>
      <c r="L348" s="2">
        <v>6868452</v>
      </c>
      <c r="M348" s="2">
        <f t="shared" si="33"/>
        <v>26523.4</v>
      </c>
      <c r="N348" s="2">
        <f t="shared" si="34"/>
        <v>22604.2</v>
      </c>
      <c r="O348" s="7">
        <f t="shared" si="30"/>
        <v>0.33815930326298121</v>
      </c>
      <c r="P348" s="9">
        <f t="shared" si="35"/>
        <v>70.501361229287099</v>
      </c>
      <c r="Q348" s="7">
        <f t="shared" si="31"/>
        <v>0.53886767018647497</v>
      </c>
      <c r="R348" s="9">
        <f t="shared" si="32"/>
        <v>1.1601062870491426E-2</v>
      </c>
      <c r="V348">
        <v>132617</v>
      </c>
      <c r="W348">
        <v>113021</v>
      </c>
      <c r="Y348">
        <v>121744</v>
      </c>
      <c r="Z348">
        <v>101634</v>
      </c>
      <c r="AB348">
        <v>81549</v>
      </c>
      <c r="AC348">
        <v>51175</v>
      </c>
    </row>
    <row r="349" spans="1:29" x14ac:dyDescent="0.3">
      <c r="A349" t="s">
        <v>359</v>
      </c>
      <c r="B349" t="s">
        <v>515</v>
      </c>
      <c r="C349">
        <v>2022</v>
      </c>
      <c r="D349" s="2">
        <v>123445</v>
      </c>
      <c r="E349" s="2">
        <v>12023</v>
      </c>
      <c r="F349" s="2">
        <v>111422</v>
      </c>
      <c r="G349" s="2">
        <v>191218</v>
      </c>
      <c r="H349" s="2">
        <v>95073</v>
      </c>
      <c r="I349" s="2">
        <v>96145</v>
      </c>
      <c r="J349" s="2">
        <v>88254</v>
      </c>
      <c r="K349" s="2">
        <v>12008443</v>
      </c>
      <c r="L349" s="2">
        <v>8276728</v>
      </c>
      <c r="M349" s="2">
        <f t="shared" si="33"/>
        <v>24689</v>
      </c>
      <c r="N349" s="2">
        <f t="shared" si="34"/>
        <v>22284.400000000001</v>
      </c>
      <c r="O349" s="7">
        <f t="shared" si="30"/>
        <v>0.46153604786160296</v>
      </c>
      <c r="P349" s="9">
        <f t="shared" si="35"/>
        <v>68.92423938723779</v>
      </c>
      <c r="Q349" s="7">
        <f t="shared" si="31"/>
        <v>0.49719691660826909</v>
      </c>
      <c r="R349" s="9">
        <f t="shared" si="32"/>
        <v>9.2786383713525551E-3</v>
      </c>
      <c r="V349">
        <v>123445</v>
      </c>
      <c r="W349">
        <v>111422</v>
      </c>
      <c r="Y349">
        <v>151334</v>
      </c>
      <c r="Z349">
        <v>69785</v>
      </c>
      <c r="AB349">
        <v>95073</v>
      </c>
      <c r="AC349">
        <v>88254</v>
      </c>
    </row>
    <row r="350" spans="1:29" x14ac:dyDescent="0.3">
      <c r="A350" t="s">
        <v>360</v>
      </c>
      <c r="B350" t="s">
        <v>515</v>
      </c>
      <c r="C350">
        <v>2022</v>
      </c>
      <c r="D350" s="2">
        <v>196451</v>
      </c>
      <c r="E350" s="2">
        <v>69664</v>
      </c>
      <c r="F350" s="2">
        <v>126787</v>
      </c>
      <c r="G350" s="2">
        <v>174553</v>
      </c>
      <c r="H350" s="2">
        <v>83099</v>
      </c>
      <c r="I350" s="2">
        <v>91454</v>
      </c>
      <c r="J350" s="2">
        <v>86162</v>
      </c>
      <c r="K350" s="2">
        <v>12303693</v>
      </c>
      <c r="L350" s="2">
        <v>6214850</v>
      </c>
      <c r="M350" s="2">
        <f t="shared" si="33"/>
        <v>39290.199999999997</v>
      </c>
      <c r="N350" s="2">
        <f t="shared" si="34"/>
        <v>25357.4</v>
      </c>
      <c r="O350" s="7">
        <f t="shared" si="30"/>
        <v>0.49361511976305189</v>
      </c>
      <c r="P350" s="9">
        <f t="shared" si="35"/>
        <v>50.512069831391273</v>
      </c>
      <c r="Q350" s="7">
        <f t="shared" si="31"/>
        <v>0.47606744083458891</v>
      </c>
      <c r="R350" s="9">
        <f t="shared" si="32"/>
        <v>1.0304792227829481E-2</v>
      </c>
      <c r="V350">
        <v>196451</v>
      </c>
      <c r="W350">
        <v>126787</v>
      </c>
      <c r="Y350">
        <v>191218</v>
      </c>
      <c r="Z350">
        <v>96145</v>
      </c>
      <c r="AB350">
        <v>83099</v>
      </c>
      <c r="AC350">
        <v>86162</v>
      </c>
    </row>
    <row r="351" spans="1:29" x14ac:dyDescent="0.3">
      <c r="A351" t="s">
        <v>361</v>
      </c>
      <c r="B351" t="s">
        <v>515</v>
      </c>
      <c r="C351">
        <v>2022</v>
      </c>
      <c r="D351" s="2">
        <v>197159</v>
      </c>
      <c r="E351" s="2">
        <v>58868</v>
      </c>
      <c r="F351" s="2">
        <v>138291</v>
      </c>
      <c r="G351" s="2">
        <v>181516</v>
      </c>
      <c r="H351" s="2">
        <v>21643</v>
      </c>
      <c r="I351" s="2">
        <v>159873</v>
      </c>
      <c r="J351" s="2">
        <v>153914</v>
      </c>
      <c r="K351" s="2">
        <v>13268541</v>
      </c>
      <c r="L351" s="2">
        <v>12546263</v>
      </c>
      <c r="M351" s="2">
        <f t="shared" si="33"/>
        <v>39431.800000000003</v>
      </c>
      <c r="N351" s="2">
        <f t="shared" si="34"/>
        <v>27658.2</v>
      </c>
      <c r="O351" s="7">
        <f t="shared" si="30"/>
        <v>0.84793627008087447</v>
      </c>
      <c r="P351" s="9">
        <f t="shared" si="35"/>
        <v>94.556462537968571</v>
      </c>
      <c r="Q351" s="7">
        <f t="shared" si="31"/>
        <v>0.11923466801824632</v>
      </c>
      <c r="R351" s="9">
        <f t="shared" si="32"/>
        <v>1.042247222207777E-2</v>
      </c>
      <c r="V351">
        <v>197159</v>
      </c>
      <c r="W351">
        <v>138291</v>
      </c>
      <c r="Y351">
        <v>174553</v>
      </c>
      <c r="Z351">
        <v>91454</v>
      </c>
      <c r="AB351">
        <v>21643</v>
      </c>
      <c r="AC351">
        <v>153914</v>
      </c>
    </row>
    <row r="352" spans="1:29" x14ac:dyDescent="0.3">
      <c r="A352" t="s">
        <v>362</v>
      </c>
      <c r="B352" t="s">
        <v>515</v>
      </c>
      <c r="C352">
        <v>2022</v>
      </c>
      <c r="D352" s="2">
        <v>115697</v>
      </c>
      <c r="E352" s="2">
        <v>26029</v>
      </c>
      <c r="F352" s="2">
        <v>89668</v>
      </c>
      <c r="G352" s="2">
        <v>123894</v>
      </c>
      <c r="H352" s="2">
        <v>78646</v>
      </c>
      <c r="I352" s="2">
        <v>45248</v>
      </c>
      <c r="J352" s="2">
        <v>32094</v>
      </c>
      <c r="K352" s="2">
        <v>14285424</v>
      </c>
      <c r="L352" s="2">
        <v>5414802</v>
      </c>
      <c r="M352" s="2">
        <f t="shared" si="33"/>
        <v>23139.4</v>
      </c>
      <c r="N352" s="2">
        <f t="shared" si="34"/>
        <v>17933.599999999999</v>
      </c>
      <c r="O352" s="7">
        <f t="shared" si="30"/>
        <v>0.25904402150225192</v>
      </c>
      <c r="P352" s="9">
        <f t="shared" si="35"/>
        <v>37.904384217087291</v>
      </c>
      <c r="Q352" s="7">
        <f t="shared" si="31"/>
        <v>0.63478457390995524</v>
      </c>
      <c r="R352" s="9">
        <f t="shared" si="32"/>
        <v>6.2768875463549423E-3</v>
      </c>
      <c r="V352">
        <v>115697</v>
      </c>
      <c r="W352">
        <v>89668</v>
      </c>
      <c r="Y352">
        <v>181516</v>
      </c>
      <c r="Z352">
        <v>159873</v>
      </c>
      <c r="AB352">
        <v>78646</v>
      </c>
      <c r="AC352">
        <v>32094</v>
      </c>
    </row>
    <row r="353" spans="1:29" x14ac:dyDescent="0.3">
      <c r="A353" t="s">
        <v>363</v>
      </c>
      <c r="B353" t="s">
        <v>515</v>
      </c>
      <c r="C353">
        <v>2022</v>
      </c>
      <c r="D353" s="2">
        <v>128229</v>
      </c>
      <c r="E353" s="2">
        <v>59815</v>
      </c>
      <c r="F353" s="2">
        <v>68414</v>
      </c>
      <c r="G353" s="2">
        <v>130506</v>
      </c>
      <c r="H353" s="2">
        <v>77539</v>
      </c>
      <c r="I353" s="2">
        <v>52967</v>
      </c>
      <c r="J353" s="2">
        <v>50426</v>
      </c>
      <c r="K353" s="2">
        <v>11444345</v>
      </c>
      <c r="L353" s="2">
        <v>5790373</v>
      </c>
      <c r="M353" s="2">
        <f t="shared" si="33"/>
        <v>25645.8</v>
      </c>
      <c r="N353" s="2">
        <f t="shared" si="34"/>
        <v>13682.8</v>
      </c>
      <c r="O353" s="7">
        <f t="shared" si="30"/>
        <v>0.38638836528588721</v>
      </c>
      <c r="P353" s="9">
        <f t="shared" si="35"/>
        <v>50.595931877272136</v>
      </c>
      <c r="Q353" s="7">
        <f t="shared" si="31"/>
        <v>0.59414126553568414</v>
      </c>
      <c r="R353" s="9">
        <f t="shared" si="32"/>
        <v>5.9779742746308333E-3</v>
      </c>
      <c r="V353">
        <v>128229</v>
      </c>
      <c r="W353">
        <v>68414</v>
      </c>
      <c r="Y353">
        <v>123894</v>
      </c>
      <c r="Z353">
        <v>45248</v>
      </c>
      <c r="AB353">
        <v>77539</v>
      </c>
      <c r="AC353">
        <v>50426</v>
      </c>
    </row>
    <row r="354" spans="1:29" x14ac:dyDescent="0.3">
      <c r="A354" t="s">
        <v>364</v>
      </c>
      <c r="B354" t="s">
        <v>515</v>
      </c>
      <c r="C354">
        <v>2022</v>
      </c>
      <c r="D354" s="2">
        <v>63428</v>
      </c>
      <c r="E354" s="2">
        <v>53934</v>
      </c>
      <c r="F354" s="2">
        <v>9494</v>
      </c>
      <c r="G354" s="2">
        <v>39752</v>
      </c>
      <c r="H354" s="2">
        <v>72775</v>
      </c>
      <c r="I354" s="2">
        <v>-33023</v>
      </c>
      <c r="J354" s="2">
        <v>-51067</v>
      </c>
      <c r="K354" s="2">
        <v>17546787</v>
      </c>
      <c r="L354" s="2">
        <v>8510493</v>
      </c>
      <c r="M354" s="2">
        <f t="shared" si="33"/>
        <v>12685.6</v>
      </c>
      <c r="N354" s="2">
        <f t="shared" si="34"/>
        <v>1898.8</v>
      </c>
      <c r="O354" s="7">
        <f t="shared" si="30"/>
        <v>-1.2846397665526263</v>
      </c>
      <c r="P354" s="9">
        <f t="shared" si="35"/>
        <v>48.501717151977736</v>
      </c>
      <c r="Q354" s="7">
        <f t="shared" si="31"/>
        <v>1.8307254980881464</v>
      </c>
      <c r="R354" s="9">
        <f t="shared" si="32"/>
        <v>5.4106771798164528E-4</v>
      </c>
      <c r="V354">
        <v>63428</v>
      </c>
      <c r="W354">
        <v>9494</v>
      </c>
      <c r="Y354">
        <v>130506</v>
      </c>
      <c r="Z354">
        <v>52967</v>
      </c>
      <c r="AB354">
        <v>72775</v>
      </c>
      <c r="AC354">
        <v>-51067</v>
      </c>
    </row>
    <row r="355" spans="1:29" x14ac:dyDescent="0.3">
      <c r="A355" t="s">
        <v>365</v>
      </c>
      <c r="B355" t="s">
        <v>515</v>
      </c>
      <c r="C355">
        <v>2022</v>
      </c>
      <c r="D355" s="2">
        <v>78854</v>
      </c>
      <c r="E355" s="2">
        <v>16256</v>
      </c>
      <c r="F355" s="2">
        <v>62598</v>
      </c>
      <c r="G355" s="2">
        <v>158854</v>
      </c>
      <c r="H355" s="2">
        <v>48937</v>
      </c>
      <c r="I355" s="2">
        <v>109917</v>
      </c>
      <c r="J355" s="2">
        <v>107087</v>
      </c>
      <c r="K355" s="2">
        <v>12997043</v>
      </c>
      <c r="L355" s="2">
        <v>3181360</v>
      </c>
      <c r="M355" s="2">
        <f t="shared" si="33"/>
        <v>15770.8</v>
      </c>
      <c r="N355" s="2">
        <f t="shared" si="34"/>
        <v>12519.6</v>
      </c>
      <c r="O355" s="7">
        <f t="shared" si="30"/>
        <v>0.67412214989864905</v>
      </c>
      <c r="P355" s="9">
        <f t="shared" si="35"/>
        <v>24.477567705208024</v>
      </c>
      <c r="Q355" s="7">
        <f t="shared" si="31"/>
        <v>0.30806274944288464</v>
      </c>
      <c r="R355" s="9">
        <f t="shared" si="32"/>
        <v>4.8163262982202949E-3</v>
      </c>
      <c r="V355">
        <v>78854</v>
      </c>
      <c r="W355">
        <v>62598</v>
      </c>
      <c r="Y355">
        <v>39752</v>
      </c>
      <c r="Z355">
        <v>-33023</v>
      </c>
      <c r="AB355">
        <v>48937</v>
      </c>
      <c r="AC355">
        <v>107087</v>
      </c>
    </row>
    <row r="356" spans="1:29" x14ac:dyDescent="0.3">
      <c r="A356" t="s">
        <v>366</v>
      </c>
      <c r="B356" t="s">
        <v>515</v>
      </c>
      <c r="C356">
        <v>2022</v>
      </c>
      <c r="D356" s="2">
        <v>134730</v>
      </c>
      <c r="E356" s="2">
        <v>35051</v>
      </c>
      <c r="F356" s="2">
        <v>99679</v>
      </c>
      <c r="G356" s="2">
        <v>147065</v>
      </c>
      <c r="H356" s="2">
        <v>90054</v>
      </c>
      <c r="I356" s="2">
        <v>57011</v>
      </c>
      <c r="J356" s="2">
        <v>41753</v>
      </c>
      <c r="K356" s="2">
        <v>18516600</v>
      </c>
      <c r="L356" s="2">
        <v>14031669</v>
      </c>
      <c r="M356" s="2">
        <f t="shared" si="33"/>
        <v>26946</v>
      </c>
      <c r="N356" s="2">
        <f t="shared" si="34"/>
        <v>19935.8</v>
      </c>
      <c r="O356" s="7">
        <f t="shared" si="30"/>
        <v>0.28390847584401457</v>
      </c>
      <c r="P356" s="9">
        <f t="shared" si="35"/>
        <v>75.77886329023687</v>
      </c>
      <c r="Q356" s="7">
        <f t="shared" si="31"/>
        <v>0.61234148165777036</v>
      </c>
      <c r="R356" s="9">
        <f t="shared" si="32"/>
        <v>5.3832237019755249E-3</v>
      </c>
      <c r="V356">
        <v>134730</v>
      </c>
      <c r="W356">
        <v>99679</v>
      </c>
      <c r="Y356">
        <v>158854</v>
      </c>
      <c r="Z356">
        <v>109917</v>
      </c>
      <c r="AB356">
        <v>90054</v>
      </c>
      <c r="AC356">
        <v>41753</v>
      </c>
    </row>
    <row r="357" spans="1:29" x14ac:dyDescent="0.3">
      <c r="A357" t="s">
        <v>367</v>
      </c>
      <c r="B357" t="s">
        <v>515</v>
      </c>
      <c r="C357">
        <v>2022</v>
      </c>
      <c r="D357" s="2">
        <v>127984</v>
      </c>
      <c r="E357" s="2">
        <v>69792</v>
      </c>
      <c r="F357" s="2">
        <v>58192</v>
      </c>
      <c r="G357" s="2">
        <v>123445</v>
      </c>
      <c r="H357" s="2">
        <v>49051</v>
      </c>
      <c r="I357" s="2">
        <v>74394</v>
      </c>
      <c r="J357" s="2">
        <v>55351</v>
      </c>
      <c r="K357" s="2">
        <v>7127599</v>
      </c>
      <c r="L357" s="2">
        <v>13613806</v>
      </c>
      <c r="M357" s="2">
        <f t="shared" si="33"/>
        <v>25596.799999999999</v>
      </c>
      <c r="N357" s="2">
        <f t="shared" si="34"/>
        <v>11638.4</v>
      </c>
      <c r="O357" s="7">
        <f t="shared" si="30"/>
        <v>0.44838592085544171</v>
      </c>
      <c r="P357" s="9">
        <f t="shared" si="35"/>
        <v>191.00128949454088</v>
      </c>
      <c r="Q357" s="7">
        <f t="shared" si="31"/>
        <v>0.39735104702499091</v>
      </c>
      <c r="R357" s="9">
        <f t="shared" si="32"/>
        <v>8.1643201308042156E-3</v>
      </c>
      <c r="V357">
        <v>127984</v>
      </c>
      <c r="W357">
        <v>58192</v>
      </c>
      <c r="Y357">
        <v>147065</v>
      </c>
      <c r="Z357">
        <v>57011</v>
      </c>
      <c r="AB357">
        <v>49051</v>
      </c>
      <c r="AC357">
        <v>55351</v>
      </c>
    </row>
    <row r="358" spans="1:29" x14ac:dyDescent="0.3">
      <c r="A358" t="s">
        <v>368</v>
      </c>
      <c r="B358" t="s">
        <v>515</v>
      </c>
      <c r="C358">
        <v>2022</v>
      </c>
      <c r="D358" s="2">
        <v>134045</v>
      </c>
      <c r="E358" s="2">
        <v>67418</v>
      </c>
      <c r="F358" s="2">
        <v>66627</v>
      </c>
      <c r="G358" s="2">
        <v>101099</v>
      </c>
      <c r="H358" s="2">
        <v>18471</v>
      </c>
      <c r="I358" s="2">
        <v>82628</v>
      </c>
      <c r="J358" s="2">
        <v>71600</v>
      </c>
      <c r="K358" s="2">
        <v>8790328</v>
      </c>
      <c r="L358" s="2">
        <v>13651697</v>
      </c>
      <c r="M358" s="2">
        <f t="shared" si="33"/>
        <v>26809</v>
      </c>
      <c r="N358" s="2">
        <f t="shared" si="34"/>
        <v>13325.4</v>
      </c>
      <c r="O358" s="7">
        <f t="shared" si="30"/>
        <v>0.70821669848366453</v>
      </c>
      <c r="P358" s="9">
        <f t="shared" si="35"/>
        <v>155.30361324401093</v>
      </c>
      <c r="Q358" s="7">
        <f t="shared" si="31"/>
        <v>0.18270210387837665</v>
      </c>
      <c r="R358" s="9">
        <f t="shared" si="32"/>
        <v>7.5795806481851417E-3</v>
      </c>
      <c r="V358">
        <v>134045</v>
      </c>
      <c r="W358">
        <v>66627</v>
      </c>
      <c r="Y358">
        <v>123445</v>
      </c>
      <c r="Z358">
        <v>74394</v>
      </c>
      <c r="AB358">
        <v>18471</v>
      </c>
      <c r="AC358">
        <v>71600</v>
      </c>
    </row>
    <row r="359" spans="1:29" x14ac:dyDescent="0.3">
      <c r="A359" t="s">
        <v>369</v>
      </c>
      <c r="B359" t="s">
        <v>515</v>
      </c>
      <c r="C359">
        <v>2022</v>
      </c>
      <c r="D359" s="2">
        <v>96850</v>
      </c>
      <c r="E359" s="2">
        <v>64220</v>
      </c>
      <c r="F359" s="2">
        <v>32630</v>
      </c>
      <c r="G359" s="2">
        <v>146438</v>
      </c>
      <c r="H359" s="2">
        <v>21397</v>
      </c>
      <c r="I359" s="2">
        <v>125041</v>
      </c>
      <c r="J359" s="2">
        <v>120284</v>
      </c>
      <c r="K359" s="2">
        <v>15538832</v>
      </c>
      <c r="L359" s="2">
        <v>10948140</v>
      </c>
      <c r="M359" s="2">
        <f t="shared" si="33"/>
        <v>19370</v>
      </c>
      <c r="N359" s="2">
        <f t="shared" si="34"/>
        <v>6526</v>
      </c>
      <c r="O359" s="7">
        <f t="shared" si="30"/>
        <v>0.82139881724688946</v>
      </c>
      <c r="P359" s="9">
        <f t="shared" si="35"/>
        <v>70.456646934595852</v>
      </c>
      <c r="Q359" s="7">
        <f t="shared" si="31"/>
        <v>0.14611644518499298</v>
      </c>
      <c r="R359" s="9">
        <f t="shared" si="32"/>
        <v>2.0999004300966766E-3</v>
      </c>
      <c r="V359">
        <v>96850</v>
      </c>
      <c r="W359">
        <v>32630</v>
      </c>
      <c r="Y359">
        <v>101099</v>
      </c>
      <c r="Z359">
        <v>82628</v>
      </c>
      <c r="AB359">
        <v>21397</v>
      </c>
      <c r="AC359">
        <v>120284</v>
      </c>
    </row>
    <row r="360" spans="1:29" x14ac:dyDescent="0.3">
      <c r="A360" t="s">
        <v>370</v>
      </c>
      <c r="B360" t="s">
        <v>515</v>
      </c>
      <c r="C360">
        <v>2022</v>
      </c>
      <c r="D360" s="2">
        <v>73284</v>
      </c>
      <c r="E360" s="2">
        <v>71330</v>
      </c>
      <c r="F360" s="2">
        <v>1954</v>
      </c>
      <c r="G360" s="2">
        <v>105323</v>
      </c>
      <c r="H360" s="2">
        <v>40122</v>
      </c>
      <c r="I360" s="2">
        <v>65201</v>
      </c>
      <c r="J360" s="2">
        <v>58184</v>
      </c>
      <c r="K360" s="2">
        <v>12028722</v>
      </c>
      <c r="L360" s="2">
        <v>11221252</v>
      </c>
      <c r="M360" s="2">
        <f t="shared" si="33"/>
        <v>14656.8</v>
      </c>
      <c r="N360" s="2">
        <f t="shared" si="34"/>
        <v>390.8</v>
      </c>
      <c r="O360" s="7">
        <f t="shared" si="30"/>
        <v>0.55243394130436851</v>
      </c>
      <c r="P360" s="9">
        <f t="shared" si="35"/>
        <v>93.287150538519398</v>
      </c>
      <c r="Q360" s="7">
        <f t="shared" si="31"/>
        <v>0.38094243422614243</v>
      </c>
      <c r="R360" s="9">
        <f t="shared" si="32"/>
        <v>1.6244452236904302E-4</v>
      </c>
      <c r="V360">
        <v>73284</v>
      </c>
      <c r="W360">
        <v>1954</v>
      </c>
      <c r="Y360">
        <v>146438</v>
      </c>
      <c r="Z360">
        <v>125041</v>
      </c>
      <c r="AB360">
        <v>40122</v>
      </c>
      <c r="AC360">
        <v>58184</v>
      </c>
    </row>
    <row r="361" spans="1:29" x14ac:dyDescent="0.3">
      <c r="A361" t="s">
        <v>371</v>
      </c>
      <c r="B361" t="s">
        <v>515</v>
      </c>
      <c r="C361">
        <v>2022</v>
      </c>
      <c r="D361" s="2">
        <v>112812</v>
      </c>
      <c r="E361" s="2">
        <v>17999</v>
      </c>
      <c r="F361" s="2">
        <v>94813</v>
      </c>
      <c r="G361" s="2">
        <v>137249</v>
      </c>
      <c r="H361" s="2">
        <v>57963</v>
      </c>
      <c r="I361" s="2">
        <v>79286</v>
      </c>
      <c r="J361" s="2">
        <v>75190</v>
      </c>
      <c r="K361" s="2">
        <v>11814612</v>
      </c>
      <c r="L361" s="2">
        <v>7963401</v>
      </c>
      <c r="M361" s="2">
        <f t="shared" si="33"/>
        <v>22562.400000000001</v>
      </c>
      <c r="N361" s="2">
        <f t="shared" si="34"/>
        <v>18962.599999999999</v>
      </c>
      <c r="O361" s="7">
        <f t="shared" si="30"/>
        <v>0.54783641410866379</v>
      </c>
      <c r="P361" s="9">
        <f t="shared" si="35"/>
        <v>67.402983695105689</v>
      </c>
      <c r="Q361" s="7">
        <f t="shared" si="31"/>
        <v>0.42232001690358401</v>
      </c>
      <c r="R361" s="9">
        <f t="shared" si="32"/>
        <v>8.0250625242707929E-3</v>
      </c>
      <c r="V361">
        <v>112812</v>
      </c>
      <c r="W361">
        <v>94813</v>
      </c>
      <c r="Y361">
        <v>105323</v>
      </c>
      <c r="Z361">
        <v>65201</v>
      </c>
      <c r="AB361">
        <v>57963</v>
      </c>
      <c r="AC361">
        <v>75190</v>
      </c>
    </row>
    <row r="362" spans="1:29" x14ac:dyDescent="0.3">
      <c r="A362" t="s">
        <v>372</v>
      </c>
      <c r="B362" t="s">
        <v>515</v>
      </c>
      <c r="C362">
        <v>2023</v>
      </c>
      <c r="D362" s="2">
        <v>158899</v>
      </c>
      <c r="E362" s="2">
        <v>36201</v>
      </c>
      <c r="F362" s="2">
        <v>122698</v>
      </c>
      <c r="G362" s="2">
        <v>162413</v>
      </c>
      <c r="H362" s="2">
        <v>44309</v>
      </c>
      <c r="I362" s="2">
        <v>118104</v>
      </c>
      <c r="J362" s="2">
        <v>101026</v>
      </c>
      <c r="K362" s="2">
        <v>11741286</v>
      </c>
      <c r="L362" s="2">
        <v>4577969</v>
      </c>
      <c r="M362" s="2">
        <f t="shared" si="33"/>
        <v>31779.8</v>
      </c>
      <c r="N362" s="2">
        <f t="shared" si="34"/>
        <v>24539.599999999999</v>
      </c>
      <c r="O362" s="7">
        <f t="shared" si="30"/>
        <v>0.62203148762722194</v>
      </c>
      <c r="P362" s="9">
        <f t="shared" si="35"/>
        <v>38.990354208218761</v>
      </c>
      <c r="Q362" s="7">
        <f t="shared" si="31"/>
        <v>0.27281683116499295</v>
      </c>
      <c r="R362" s="9">
        <f t="shared" si="32"/>
        <v>1.0450132975212426E-2</v>
      </c>
      <c r="V362">
        <v>158899</v>
      </c>
      <c r="W362">
        <v>122698</v>
      </c>
      <c r="Y362">
        <v>137249</v>
      </c>
      <c r="Z362">
        <v>79286</v>
      </c>
      <c r="AB362">
        <v>44309</v>
      </c>
      <c r="AC362">
        <v>101026</v>
      </c>
    </row>
    <row r="363" spans="1:29" x14ac:dyDescent="0.3">
      <c r="A363" t="s">
        <v>373</v>
      </c>
      <c r="B363" t="s">
        <v>515</v>
      </c>
      <c r="C363">
        <v>2023</v>
      </c>
      <c r="D363" s="2">
        <v>167666</v>
      </c>
      <c r="E363" s="2">
        <v>12839</v>
      </c>
      <c r="F363" s="2">
        <v>154827</v>
      </c>
      <c r="G363" s="2">
        <v>243747</v>
      </c>
      <c r="H363" s="2">
        <v>58619</v>
      </c>
      <c r="I363" s="2">
        <v>185128</v>
      </c>
      <c r="J363" s="2">
        <v>173075</v>
      </c>
      <c r="K363" s="2">
        <v>16135784</v>
      </c>
      <c r="L363" s="2">
        <v>14416757</v>
      </c>
      <c r="M363" s="2">
        <f t="shared" si="33"/>
        <v>33533.199999999997</v>
      </c>
      <c r="N363" s="2">
        <f t="shared" si="34"/>
        <v>30965.4</v>
      </c>
      <c r="O363" s="7">
        <f t="shared" si="30"/>
        <v>0.71006002125154366</v>
      </c>
      <c r="P363" s="9">
        <f t="shared" si="35"/>
        <v>89.3464922435749</v>
      </c>
      <c r="Q363" s="7">
        <f t="shared" si="31"/>
        <v>0.24049116501946691</v>
      </c>
      <c r="R363" s="9">
        <f t="shared" si="32"/>
        <v>9.5952573485118542E-3</v>
      </c>
      <c r="V363">
        <v>167666</v>
      </c>
      <c r="W363">
        <v>154827</v>
      </c>
      <c r="Y363">
        <v>162413</v>
      </c>
      <c r="Z363">
        <v>118104</v>
      </c>
      <c r="AB363">
        <v>58619</v>
      </c>
      <c r="AC363">
        <v>173075</v>
      </c>
    </row>
    <row r="364" spans="1:29" x14ac:dyDescent="0.3">
      <c r="A364" t="s">
        <v>374</v>
      </c>
      <c r="B364" t="s">
        <v>515</v>
      </c>
      <c r="C364">
        <v>2023</v>
      </c>
      <c r="D364" s="2">
        <v>67069</v>
      </c>
      <c r="E364" s="2">
        <v>17531</v>
      </c>
      <c r="F364" s="2">
        <v>49538</v>
      </c>
      <c r="G364" s="2">
        <v>106589</v>
      </c>
      <c r="H364" s="2">
        <v>22736</v>
      </c>
      <c r="I364" s="2">
        <v>83853</v>
      </c>
      <c r="J364" s="2">
        <v>74143</v>
      </c>
      <c r="K364" s="2">
        <v>8212883</v>
      </c>
      <c r="L364" s="2">
        <v>6028631</v>
      </c>
      <c r="M364" s="2">
        <f t="shared" si="33"/>
        <v>13413.8</v>
      </c>
      <c r="N364" s="2">
        <f t="shared" si="34"/>
        <v>9907.6</v>
      </c>
      <c r="O364" s="7">
        <f t="shared" si="30"/>
        <v>0.69559710664327468</v>
      </c>
      <c r="P364" s="9">
        <f t="shared" si="35"/>
        <v>73.404564511633737</v>
      </c>
      <c r="Q364" s="7">
        <f t="shared" si="31"/>
        <v>0.21330531293097788</v>
      </c>
      <c r="R364" s="9">
        <f t="shared" si="32"/>
        <v>6.0317430553923634E-3</v>
      </c>
      <c r="V364">
        <v>67069</v>
      </c>
      <c r="W364">
        <v>49538</v>
      </c>
      <c r="Y364">
        <v>243747</v>
      </c>
      <c r="Z364">
        <v>185128</v>
      </c>
      <c r="AB364">
        <v>22736</v>
      </c>
      <c r="AC364">
        <v>74143</v>
      </c>
    </row>
    <row r="365" spans="1:29" x14ac:dyDescent="0.3">
      <c r="A365" t="s">
        <v>375</v>
      </c>
      <c r="B365" t="s">
        <v>515</v>
      </c>
      <c r="C365">
        <v>2023</v>
      </c>
      <c r="D365" s="2">
        <v>112424</v>
      </c>
      <c r="E365" s="2">
        <v>55603</v>
      </c>
      <c r="F365" s="2">
        <v>56821</v>
      </c>
      <c r="G365" s="2">
        <v>100073</v>
      </c>
      <c r="H365" s="2">
        <v>95797</v>
      </c>
      <c r="I365" s="2">
        <v>4276</v>
      </c>
      <c r="J365" s="2">
        <v>845</v>
      </c>
      <c r="K365" s="2">
        <v>15167147</v>
      </c>
      <c r="L365" s="2">
        <v>9984297</v>
      </c>
      <c r="M365" s="2">
        <f t="shared" si="33"/>
        <v>22484.799999999999</v>
      </c>
      <c r="N365" s="2">
        <f t="shared" si="34"/>
        <v>11364.2</v>
      </c>
      <c r="O365" s="7">
        <f t="shared" si="30"/>
        <v>8.4438359997202044E-3</v>
      </c>
      <c r="P365" s="9">
        <f t="shared" si="35"/>
        <v>65.828444861779218</v>
      </c>
      <c r="Q365" s="7">
        <f t="shared" si="31"/>
        <v>0.95727119202981825</v>
      </c>
      <c r="R365" s="9">
        <f t="shared" si="32"/>
        <v>3.7463209132211879E-3</v>
      </c>
      <c r="V365">
        <v>112424</v>
      </c>
      <c r="W365">
        <v>56821</v>
      </c>
      <c r="Y365">
        <v>106589</v>
      </c>
      <c r="Z365">
        <v>83853</v>
      </c>
      <c r="AB365">
        <v>95797</v>
      </c>
      <c r="AC365">
        <v>845</v>
      </c>
    </row>
    <row r="366" spans="1:29" x14ac:dyDescent="0.3">
      <c r="A366" t="s">
        <v>376</v>
      </c>
      <c r="B366" t="s">
        <v>515</v>
      </c>
      <c r="C366">
        <v>2023</v>
      </c>
      <c r="D366" s="2">
        <v>142573</v>
      </c>
      <c r="E366" s="2">
        <v>19557</v>
      </c>
      <c r="F366" s="2">
        <v>123016</v>
      </c>
      <c r="G366" s="2">
        <v>217987</v>
      </c>
      <c r="H366" s="2">
        <v>15162</v>
      </c>
      <c r="I366" s="2">
        <v>202825</v>
      </c>
      <c r="J366" s="2">
        <v>198851</v>
      </c>
      <c r="K366" s="2">
        <v>5019675</v>
      </c>
      <c r="L366" s="2">
        <v>11462605</v>
      </c>
      <c r="M366" s="2">
        <f t="shared" si="33"/>
        <v>28514.6</v>
      </c>
      <c r="N366" s="2">
        <f t="shared" si="34"/>
        <v>24603.200000000001</v>
      </c>
      <c r="O366" s="7">
        <f t="shared" si="30"/>
        <v>0.91221494859785213</v>
      </c>
      <c r="P366" s="9">
        <f t="shared" si="35"/>
        <v>228.35352886392047</v>
      </c>
      <c r="Q366" s="7">
        <f t="shared" si="31"/>
        <v>6.9554606467358143E-2</v>
      </c>
      <c r="R366" s="9">
        <f t="shared" si="32"/>
        <v>2.4506765876276849E-2</v>
      </c>
      <c r="V366">
        <v>142573</v>
      </c>
      <c r="W366">
        <v>123016</v>
      </c>
      <c r="Y366">
        <v>100073</v>
      </c>
      <c r="Z366">
        <v>4276</v>
      </c>
      <c r="AB366">
        <v>15162</v>
      </c>
      <c r="AC366">
        <v>198851</v>
      </c>
    </row>
    <row r="367" spans="1:29" x14ac:dyDescent="0.3">
      <c r="A367" t="s">
        <v>377</v>
      </c>
      <c r="B367" t="s">
        <v>515</v>
      </c>
      <c r="C367">
        <v>2023</v>
      </c>
      <c r="D367" s="2">
        <v>198087</v>
      </c>
      <c r="E367" s="2">
        <v>60057</v>
      </c>
      <c r="F367" s="2">
        <v>138030</v>
      </c>
      <c r="G367" s="2">
        <v>190621</v>
      </c>
      <c r="H367" s="2">
        <v>24833</v>
      </c>
      <c r="I367" s="2">
        <v>165788</v>
      </c>
      <c r="J367" s="2">
        <v>155892</v>
      </c>
      <c r="K367" s="2">
        <v>19057676</v>
      </c>
      <c r="L367" s="2">
        <v>13797637</v>
      </c>
      <c r="M367" s="2">
        <f t="shared" si="33"/>
        <v>39617.4</v>
      </c>
      <c r="N367" s="2">
        <f t="shared" si="34"/>
        <v>27606</v>
      </c>
      <c r="O367" s="7">
        <f t="shared" si="30"/>
        <v>0.81781125899035256</v>
      </c>
      <c r="P367" s="9">
        <f t="shared" si="35"/>
        <v>72.399368107632853</v>
      </c>
      <c r="Q367" s="7">
        <f t="shared" si="31"/>
        <v>0.13027420903258297</v>
      </c>
      <c r="R367" s="9">
        <f t="shared" si="32"/>
        <v>7.2427508999523341E-3</v>
      </c>
      <c r="V367">
        <v>198087</v>
      </c>
      <c r="W367">
        <v>138030</v>
      </c>
      <c r="Y367">
        <v>217987</v>
      </c>
      <c r="Z367">
        <v>202825</v>
      </c>
      <c r="AB367">
        <v>24833</v>
      </c>
      <c r="AC367">
        <v>155892</v>
      </c>
    </row>
    <row r="368" spans="1:29" x14ac:dyDescent="0.3">
      <c r="A368" t="s">
        <v>378</v>
      </c>
      <c r="B368" t="s">
        <v>515</v>
      </c>
      <c r="C368">
        <v>2023</v>
      </c>
      <c r="D368" s="2">
        <v>91800</v>
      </c>
      <c r="E368" s="2">
        <v>15347</v>
      </c>
      <c r="F368" s="2">
        <v>76453</v>
      </c>
      <c r="G368" s="2">
        <v>155516</v>
      </c>
      <c r="H368" s="2">
        <v>17643</v>
      </c>
      <c r="I368" s="2">
        <v>137873</v>
      </c>
      <c r="J368" s="2">
        <v>127856</v>
      </c>
      <c r="K368" s="2">
        <v>5805113</v>
      </c>
      <c r="L368" s="2">
        <v>13851768</v>
      </c>
      <c r="M368" s="2">
        <f t="shared" si="33"/>
        <v>18360</v>
      </c>
      <c r="N368" s="2">
        <f t="shared" si="34"/>
        <v>15290.6</v>
      </c>
      <c r="O368" s="7">
        <f t="shared" si="30"/>
        <v>0.82214048715244736</v>
      </c>
      <c r="P368" s="9">
        <f t="shared" si="35"/>
        <v>238.61323629703674</v>
      </c>
      <c r="Q368" s="7">
        <f t="shared" si="31"/>
        <v>0.1134481339540626</v>
      </c>
      <c r="R368" s="9">
        <f t="shared" si="32"/>
        <v>1.3169941739290864E-2</v>
      </c>
      <c r="V368">
        <v>91800</v>
      </c>
      <c r="W368">
        <v>76453</v>
      </c>
      <c r="Y368">
        <v>190621</v>
      </c>
      <c r="Z368">
        <v>165788</v>
      </c>
      <c r="AB368">
        <v>17643</v>
      </c>
      <c r="AC368">
        <v>127856</v>
      </c>
    </row>
    <row r="369" spans="1:29" x14ac:dyDescent="0.3">
      <c r="A369" t="s">
        <v>379</v>
      </c>
      <c r="B369" t="s">
        <v>515</v>
      </c>
      <c r="C369">
        <v>2023</v>
      </c>
      <c r="D369" s="2">
        <v>196964</v>
      </c>
      <c r="E369" s="2">
        <v>57299</v>
      </c>
      <c r="F369" s="2">
        <v>139665</v>
      </c>
      <c r="G369" s="2">
        <v>176738</v>
      </c>
      <c r="H369" s="2">
        <v>45682</v>
      </c>
      <c r="I369" s="2">
        <v>131056</v>
      </c>
      <c r="J369" s="2">
        <v>114767</v>
      </c>
      <c r="K369" s="2">
        <v>13503967</v>
      </c>
      <c r="L369" s="2">
        <v>9208714</v>
      </c>
      <c r="M369" s="2">
        <f t="shared" si="33"/>
        <v>39392.800000000003</v>
      </c>
      <c r="N369" s="2">
        <f t="shared" si="34"/>
        <v>27933</v>
      </c>
      <c r="O369" s="7">
        <f t="shared" si="30"/>
        <v>0.64936233294481094</v>
      </c>
      <c r="P369" s="9">
        <f t="shared" si="35"/>
        <v>68.192657757531549</v>
      </c>
      <c r="Q369" s="7">
        <f t="shared" si="31"/>
        <v>0.25847299392320838</v>
      </c>
      <c r="R369" s="9">
        <f t="shared" si="32"/>
        <v>1.0342516387962145E-2</v>
      </c>
      <c r="V369">
        <v>196964</v>
      </c>
      <c r="W369">
        <v>139665</v>
      </c>
      <c r="Y369">
        <v>155516</v>
      </c>
      <c r="Z369">
        <v>137873</v>
      </c>
      <c r="AB369">
        <v>45682</v>
      </c>
      <c r="AC369">
        <v>114767</v>
      </c>
    </row>
    <row r="370" spans="1:29" x14ac:dyDescent="0.3">
      <c r="A370" t="s">
        <v>380</v>
      </c>
      <c r="B370" t="s">
        <v>515</v>
      </c>
      <c r="C370">
        <v>2023</v>
      </c>
      <c r="D370" s="2">
        <v>116707</v>
      </c>
      <c r="E370" s="2">
        <v>75428</v>
      </c>
      <c r="F370" s="2">
        <v>41279</v>
      </c>
      <c r="G370" s="2">
        <v>111880</v>
      </c>
      <c r="H370" s="2">
        <v>92465</v>
      </c>
      <c r="I370" s="2">
        <v>19415</v>
      </c>
      <c r="J370" s="2">
        <v>14876</v>
      </c>
      <c r="K370" s="2">
        <v>15981239</v>
      </c>
      <c r="L370" s="2">
        <v>13072959</v>
      </c>
      <c r="M370" s="2">
        <f t="shared" si="33"/>
        <v>23341.4</v>
      </c>
      <c r="N370" s="2">
        <f t="shared" si="34"/>
        <v>8255.7999999999993</v>
      </c>
      <c r="O370" s="7">
        <f t="shared" si="30"/>
        <v>0.13296388988201643</v>
      </c>
      <c r="P370" s="9">
        <f t="shared" si="35"/>
        <v>81.801911603975142</v>
      </c>
      <c r="Q370" s="7">
        <f t="shared" si="31"/>
        <v>0.82646585627457991</v>
      </c>
      <c r="R370" s="9">
        <f t="shared" si="32"/>
        <v>2.5829661892923322E-3</v>
      </c>
      <c r="V370">
        <v>116707</v>
      </c>
      <c r="W370">
        <v>41279</v>
      </c>
      <c r="Y370">
        <v>176738</v>
      </c>
      <c r="Z370">
        <v>131056</v>
      </c>
      <c r="AB370">
        <v>92465</v>
      </c>
      <c r="AC370">
        <v>14876</v>
      </c>
    </row>
    <row r="371" spans="1:29" x14ac:dyDescent="0.3">
      <c r="A371" t="s">
        <v>381</v>
      </c>
      <c r="B371" t="s">
        <v>515</v>
      </c>
      <c r="C371">
        <v>2023</v>
      </c>
      <c r="D371" s="2">
        <v>199817</v>
      </c>
      <c r="E371" s="2">
        <v>38228</v>
      </c>
      <c r="F371" s="2">
        <v>161589</v>
      </c>
      <c r="G371" s="2">
        <v>216110</v>
      </c>
      <c r="H371" s="2">
        <v>41928</v>
      </c>
      <c r="I371" s="2">
        <v>174182</v>
      </c>
      <c r="J371" s="2">
        <v>162059</v>
      </c>
      <c r="K371" s="2">
        <v>12946232</v>
      </c>
      <c r="L371" s="2">
        <v>6498408</v>
      </c>
      <c r="M371" s="2">
        <f t="shared" si="33"/>
        <v>39963.4</v>
      </c>
      <c r="N371" s="2">
        <f t="shared" si="34"/>
        <v>32317.8</v>
      </c>
      <c r="O371" s="7">
        <f t="shared" si="30"/>
        <v>0.7498912590810235</v>
      </c>
      <c r="P371" s="9">
        <f t="shared" si="35"/>
        <v>50.195361862818466</v>
      </c>
      <c r="Q371" s="7">
        <f t="shared" si="31"/>
        <v>0.1940123085465735</v>
      </c>
      <c r="R371" s="9">
        <f t="shared" si="32"/>
        <v>1.2481546754298857E-2</v>
      </c>
      <c r="V371">
        <v>199817</v>
      </c>
      <c r="W371">
        <v>161589</v>
      </c>
      <c r="Y371">
        <v>111880</v>
      </c>
      <c r="Z371">
        <v>19415</v>
      </c>
      <c r="AB371">
        <v>41928</v>
      </c>
      <c r="AC371">
        <v>162059</v>
      </c>
    </row>
    <row r="372" spans="1:29" x14ac:dyDescent="0.3">
      <c r="A372" t="s">
        <v>382</v>
      </c>
      <c r="B372" t="s">
        <v>515</v>
      </c>
      <c r="C372">
        <v>2023</v>
      </c>
      <c r="D372" s="2">
        <v>56304</v>
      </c>
      <c r="E372" s="2">
        <v>17345</v>
      </c>
      <c r="F372" s="2">
        <v>38959</v>
      </c>
      <c r="G372" s="2">
        <v>88259</v>
      </c>
      <c r="H372" s="2">
        <v>39259</v>
      </c>
      <c r="I372" s="2">
        <v>49000</v>
      </c>
      <c r="J372" s="2">
        <v>31648</v>
      </c>
      <c r="K372" s="2">
        <v>17712262</v>
      </c>
      <c r="L372" s="2">
        <v>3688725</v>
      </c>
      <c r="M372" s="2">
        <f t="shared" si="33"/>
        <v>11260.8</v>
      </c>
      <c r="N372" s="2">
        <f t="shared" si="34"/>
        <v>7791.8</v>
      </c>
      <c r="O372" s="7">
        <f t="shared" si="30"/>
        <v>0.35858099457279147</v>
      </c>
      <c r="P372" s="9">
        <f t="shared" si="35"/>
        <v>20.825826763402663</v>
      </c>
      <c r="Q372" s="7">
        <f t="shared" si="31"/>
        <v>0.44481582614804155</v>
      </c>
      <c r="R372" s="9">
        <f t="shared" si="32"/>
        <v>2.1995496679080291E-3</v>
      </c>
      <c r="V372">
        <v>56304</v>
      </c>
      <c r="W372">
        <v>38959</v>
      </c>
      <c r="Y372">
        <v>216110</v>
      </c>
      <c r="Z372">
        <v>174182</v>
      </c>
      <c r="AB372">
        <v>39259</v>
      </c>
      <c r="AC372">
        <v>31648</v>
      </c>
    </row>
    <row r="373" spans="1:29" x14ac:dyDescent="0.3">
      <c r="A373" t="s">
        <v>383</v>
      </c>
      <c r="B373" t="s">
        <v>515</v>
      </c>
      <c r="C373">
        <v>2023</v>
      </c>
      <c r="D373" s="2">
        <v>69446</v>
      </c>
      <c r="E373" s="2">
        <v>12336</v>
      </c>
      <c r="F373" s="2">
        <v>57110</v>
      </c>
      <c r="G373" s="2">
        <v>139142</v>
      </c>
      <c r="H373" s="2">
        <v>90415</v>
      </c>
      <c r="I373" s="2">
        <v>48727</v>
      </c>
      <c r="J373" s="2">
        <v>46155</v>
      </c>
      <c r="K373" s="2">
        <v>8284321</v>
      </c>
      <c r="L373" s="2">
        <v>10018523</v>
      </c>
      <c r="M373" s="2">
        <f t="shared" si="33"/>
        <v>13889.2</v>
      </c>
      <c r="N373" s="2">
        <f t="shared" si="34"/>
        <v>11422</v>
      </c>
      <c r="O373" s="7">
        <f t="shared" si="30"/>
        <v>0.33171148898247832</v>
      </c>
      <c r="P373" s="9">
        <f t="shared" si="35"/>
        <v>120.93354422166887</v>
      </c>
      <c r="Q373" s="7">
        <f t="shared" si="31"/>
        <v>0.64980379755932793</v>
      </c>
      <c r="R373" s="9">
        <f t="shared" si="32"/>
        <v>6.8937454258472123E-3</v>
      </c>
      <c r="V373">
        <v>69446</v>
      </c>
      <c r="W373">
        <v>57110</v>
      </c>
      <c r="Y373">
        <v>88259</v>
      </c>
      <c r="Z373">
        <v>49000</v>
      </c>
      <c r="AB373">
        <v>90415</v>
      </c>
      <c r="AC373">
        <v>46155</v>
      </c>
    </row>
    <row r="374" spans="1:29" x14ac:dyDescent="0.3">
      <c r="A374" t="s">
        <v>384</v>
      </c>
      <c r="B374" t="s">
        <v>515</v>
      </c>
      <c r="C374">
        <v>2023</v>
      </c>
      <c r="D374" s="2">
        <v>68474</v>
      </c>
      <c r="E374" s="2">
        <v>56760</v>
      </c>
      <c r="F374" s="2">
        <v>11714</v>
      </c>
      <c r="G374" s="2">
        <v>87432</v>
      </c>
      <c r="H374" s="2">
        <v>59629</v>
      </c>
      <c r="I374" s="2">
        <v>27803</v>
      </c>
      <c r="J374" s="2">
        <v>13339</v>
      </c>
      <c r="K374" s="2">
        <v>7445840</v>
      </c>
      <c r="L374" s="2">
        <v>8451973</v>
      </c>
      <c r="M374" s="2">
        <f t="shared" si="33"/>
        <v>13694.8</v>
      </c>
      <c r="N374" s="2">
        <f t="shared" si="34"/>
        <v>2342.8000000000002</v>
      </c>
      <c r="O374" s="7">
        <f t="shared" si="30"/>
        <v>0.15256427852502516</v>
      </c>
      <c r="P374" s="9">
        <f t="shared" si="35"/>
        <v>113.51268627851256</v>
      </c>
      <c r="Q374" s="7">
        <f t="shared" si="31"/>
        <v>0.68200430048494831</v>
      </c>
      <c r="R374" s="9">
        <f t="shared" si="32"/>
        <v>1.5732274666122291E-3</v>
      </c>
      <c r="V374">
        <v>68474</v>
      </c>
      <c r="W374">
        <v>11714</v>
      </c>
      <c r="Y374">
        <v>139142</v>
      </c>
      <c r="Z374">
        <v>48727</v>
      </c>
      <c r="AB374">
        <v>59629</v>
      </c>
      <c r="AC374">
        <v>13339</v>
      </c>
    </row>
    <row r="375" spans="1:29" x14ac:dyDescent="0.3">
      <c r="A375" t="s">
        <v>385</v>
      </c>
      <c r="B375" t="s">
        <v>515</v>
      </c>
      <c r="C375">
        <v>2023</v>
      </c>
      <c r="D375" s="2">
        <v>119184</v>
      </c>
      <c r="E375" s="2">
        <v>57945</v>
      </c>
      <c r="F375" s="2">
        <v>61239</v>
      </c>
      <c r="G375" s="2">
        <v>94379</v>
      </c>
      <c r="H375" s="2">
        <v>98457</v>
      </c>
      <c r="I375" s="2">
        <v>-4078</v>
      </c>
      <c r="J375" s="2">
        <v>-20435</v>
      </c>
      <c r="K375" s="2">
        <v>14960559</v>
      </c>
      <c r="L375" s="2">
        <v>8354552</v>
      </c>
      <c r="M375" s="2">
        <f t="shared" si="33"/>
        <v>23836.799999999999</v>
      </c>
      <c r="N375" s="2">
        <f t="shared" si="34"/>
        <v>12247.8</v>
      </c>
      <c r="O375" s="7">
        <f t="shared" si="30"/>
        <v>-0.21652062429142077</v>
      </c>
      <c r="P375" s="9">
        <f t="shared" si="35"/>
        <v>55.843849150289103</v>
      </c>
      <c r="Q375" s="7">
        <f t="shared" si="31"/>
        <v>1.0432087646616302</v>
      </c>
      <c r="R375" s="9">
        <f t="shared" si="32"/>
        <v>4.0933630889059694E-3</v>
      </c>
      <c r="V375">
        <v>119184</v>
      </c>
      <c r="W375">
        <v>61239</v>
      </c>
      <c r="Y375">
        <v>87432</v>
      </c>
      <c r="Z375">
        <v>27803</v>
      </c>
      <c r="AB375">
        <v>98457</v>
      </c>
      <c r="AC375">
        <v>-20435</v>
      </c>
    </row>
    <row r="376" spans="1:29" x14ac:dyDescent="0.3">
      <c r="A376" t="s">
        <v>386</v>
      </c>
      <c r="B376" t="s">
        <v>515</v>
      </c>
      <c r="C376">
        <v>2023</v>
      </c>
      <c r="D376" s="2">
        <v>118673</v>
      </c>
      <c r="E376" s="2">
        <v>75633</v>
      </c>
      <c r="F376" s="2">
        <v>43040</v>
      </c>
      <c r="G376" s="2">
        <v>139983</v>
      </c>
      <c r="H376" s="2">
        <v>93258</v>
      </c>
      <c r="I376" s="2">
        <v>46725</v>
      </c>
      <c r="J376" s="2">
        <v>31801</v>
      </c>
      <c r="K376" s="2">
        <v>18700774</v>
      </c>
      <c r="L376" s="2">
        <v>13579029</v>
      </c>
      <c r="M376" s="2">
        <f t="shared" si="33"/>
        <v>23734.6</v>
      </c>
      <c r="N376" s="2">
        <f t="shared" si="34"/>
        <v>8608</v>
      </c>
      <c r="O376" s="7">
        <f t="shared" si="30"/>
        <v>0.22717758584971032</v>
      </c>
      <c r="P376" s="9">
        <f t="shared" si="35"/>
        <v>72.612122899298186</v>
      </c>
      <c r="Q376" s="7">
        <f t="shared" si="31"/>
        <v>0.66620946829257843</v>
      </c>
      <c r="R376" s="9">
        <f t="shared" si="32"/>
        <v>2.301509017755094E-3</v>
      </c>
      <c r="V376">
        <v>118673</v>
      </c>
      <c r="W376">
        <v>43040</v>
      </c>
      <c r="Y376">
        <v>94379</v>
      </c>
      <c r="Z376">
        <v>-4078</v>
      </c>
      <c r="AB376">
        <v>93258</v>
      </c>
      <c r="AC376">
        <v>31801</v>
      </c>
    </row>
    <row r="377" spans="1:29" x14ac:dyDescent="0.3">
      <c r="A377" t="s">
        <v>387</v>
      </c>
      <c r="B377" t="s">
        <v>515</v>
      </c>
      <c r="C377">
        <v>2023</v>
      </c>
      <c r="D377" s="2">
        <v>124071</v>
      </c>
      <c r="E377" s="2">
        <v>67326</v>
      </c>
      <c r="F377" s="2">
        <v>56745</v>
      </c>
      <c r="G377" s="2">
        <v>166768</v>
      </c>
      <c r="H377" s="2">
        <v>45651</v>
      </c>
      <c r="I377" s="2">
        <v>121117</v>
      </c>
      <c r="J377" s="2">
        <v>114451</v>
      </c>
      <c r="K377" s="2">
        <v>14485961</v>
      </c>
      <c r="L377" s="2">
        <v>9439522</v>
      </c>
      <c r="M377" s="2">
        <f t="shared" si="33"/>
        <v>24814.2</v>
      </c>
      <c r="N377" s="2">
        <f t="shared" si="34"/>
        <v>11349</v>
      </c>
      <c r="O377" s="7">
        <f t="shared" si="30"/>
        <v>0.68628873644823951</v>
      </c>
      <c r="P377" s="9">
        <f t="shared" si="35"/>
        <v>65.163243225630666</v>
      </c>
      <c r="Q377" s="7">
        <f t="shared" si="31"/>
        <v>0.27373956634366303</v>
      </c>
      <c r="R377" s="9">
        <f t="shared" si="32"/>
        <v>3.9172409755900903E-3</v>
      </c>
      <c r="V377">
        <v>124071</v>
      </c>
      <c r="W377">
        <v>56745</v>
      </c>
      <c r="Y377">
        <v>139983</v>
      </c>
      <c r="Z377">
        <v>46725</v>
      </c>
      <c r="AB377">
        <v>45651</v>
      </c>
      <c r="AC377">
        <v>114451</v>
      </c>
    </row>
    <row r="378" spans="1:29" x14ac:dyDescent="0.3">
      <c r="A378" t="s">
        <v>388</v>
      </c>
      <c r="B378" t="s">
        <v>515</v>
      </c>
      <c r="C378">
        <v>2023</v>
      </c>
      <c r="D378" s="2">
        <v>117263</v>
      </c>
      <c r="E378" s="2">
        <v>69634</v>
      </c>
      <c r="F378" s="2">
        <v>47629</v>
      </c>
      <c r="G378" s="2">
        <v>78429</v>
      </c>
      <c r="H378" s="2">
        <v>52823</v>
      </c>
      <c r="I378" s="2">
        <v>25606</v>
      </c>
      <c r="J378" s="2">
        <v>13335</v>
      </c>
      <c r="K378" s="2">
        <v>8471750</v>
      </c>
      <c r="L378" s="2">
        <v>7475156</v>
      </c>
      <c r="M378" s="2">
        <f t="shared" si="33"/>
        <v>23452.6</v>
      </c>
      <c r="N378" s="2">
        <f t="shared" si="34"/>
        <v>9525.7999999999993</v>
      </c>
      <c r="O378" s="7">
        <f t="shared" si="30"/>
        <v>0.17002639329839728</v>
      </c>
      <c r="P378" s="9">
        <f t="shared" si="35"/>
        <v>88.236267595243007</v>
      </c>
      <c r="Q378" s="7">
        <f t="shared" si="31"/>
        <v>0.67351362378711954</v>
      </c>
      <c r="R378" s="9">
        <f t="shared" si="32"/>
        <v>5.6220969693392747E-3</v>
      </c>
      <c r="V378">
        <v>117263</v>
      </c>
      <c r="W378">
        <v>47629</v>
      </c>
      <c r="Y378">
        <v>166768</v>
      </c>
      <c r="Z378">
        <v>121117</v>
      </c>
      <c r="AB378">
        <v>52823</v>
      </c>
      <c r="AC378">
        <v>13335</v>
      </c>
    </row>
    <row r="379" spans="1:29" x14ac:dyDescent="0.3">
      <c r="A379" t="s">
        <v>389</v>
      </c>
      <c r="B379" t="s">
        <v>515</v>
      </c>
      <c r="C379">
        <v>2023</v>
      </c>
      <c r="D379" s="2">
        <v>193891</v>
      </c>
      <c r="E379" s="2">
        <v>73870</v>
      </c>
      <c r="F379" s="2">
        <v>120021</v>
      </c>
      <c r="G379" s="2">
        <v>149304</v>
      </c>
      <c r="H379" s="2">
        <v>45573</v>
      </c>
      <c r="I379" s="2">
        <v>103731</v>
      </c>
      <c r="J379" s="2">
        <v>88560</v>
      </c>
      <c r="K379" s="2">
        <v>14967246</v>
      </c>
      <c r="L379" s="2">
        <v>10543159</v>
      </c>
      <c r="M379" s="2">
        <f t="shared" si="33"/>
        <v>38778.199999999997</v>
      </c>
      <c r="N379" s="2">
        <f t="shared" si="34"/>
        <v>24004.2</v>
      </c>
      <c r="O379" s="7">
        <f t="shared" si="30"/>
        <v>0.59315222633017195</v>
      </c>
      <c r="P379" s="9">
        <f t="shared" si="35"/>
        <v>70.441542819567474</v>
      </c>
      <c r="Q379" s="7">
        <f t="shared" si="31"/>
        <v>0.30523629641536731</v>
      </c>
      <c r="R379" s="9">
        <f t="shared" si="32"/>
        <v>8.0189100920770601E-3</v>
      </c>
      <c r="V379">
        <v>193891</v>
      </c>
      <c r="W379">
        <v>120021</v>
      </c>
      <c r="Y379">
        <v>78429</v>
      </c>
      <c r="Z379">
        <v>25606</v>
      </c>
      <c r="AB379">
        <v>45573</v>
      </c>
      <c r="AC379">
        <v>88560</v>
      </c>
    </row>
    <row r="380" spans="1:29" x14ac:dyDescent="0.3">
      <c r="A380" t="s">
        <v>390</v>
      </c>
      <c r="B380" t="s">
        <v>515</v>
      </c>
      <c r="C380">
        <v>2023</v>
      </c>
      <c r="D380" s="2">
        <v>192055</v>
      </c>
      <c r="E380" s="2">
        <v>28133</v>
      </c>
      <c r="F380" s="2">
        <v>163922</v>
      </c>
      <c r="G380" s="2">
        <v>198861</v>
      </c>
      <c r="H380" s="2">
        <v>15781</v>
      </c>
      <c r="I380" s="2">
        <v>183080</v>
      </c>
      <c r="J380" s="2">
        <v>164798</v>
      </c>
      <c r="K380" s="2">
        <v>10692796</v>
      </c>
      <c r="L380" s="2">
        <v>11678376</v>
      </c>
      <c r="M380" s="2">
        <f t="shared" si="33"/>
        <v>38411</v>
      </c>
      <c r="N380" s="2">
        <f t="shared" si="34"/>
        <v>32784.400000000001</v>
      </c>
      <c r="O380" s="7">
        <f t="shared" si="30"/>
        <v>0.82870950060595094</v>
      </c>
      <c r="P380" s="9">
        <f t="shared" si="35"/>
        <v>109.21723373381479</v>
      </c>
      <c r="Q380" s="7">
        <f t="shared" si="31"/>
        <v>7.9356937760546309E-2</v>
      </c>
      <c r="R380" s="9">
        <f t="shared" si="32"/>
        <v>1.5330134419472698E-2</v>
      </c>
      <c r="V380">
        <v>192055</v>
      </c>
      <c r="W380">
        <v>163922</v>
      </c>
      <c r="Y380">
        <v>149304</v>
      </c>
      <c r="Z380">
        <v>103731</v>
      </c>
      <c r="AB380">
        <v>15781</v>
      </c>
      <c r="AC380">
        <v>164798</v>
      </c>
    </row>
    <row r="381" spans="1:29" x14ac:dyDescent="0.3">
      <c r="A381" t="s">
        <v>391</v>
      </c>
      <c r="B381" t="s">
        <v>515</v>
      </c>
      <c r="C381">
        <v>2023</v>
      </c>
      <c r="D381" s="2">
        <v>56823</v>
      </c>
      <c r="E381" s="2">
        <v>28489</v>
      </c>
      <c r="F381" s="2">
        <v>28334</v>
      </c>
      <c r="G381" s="2">
        <v>88295</v>
      </c>
      <c r="H381" s="2">
        <v>44118</v>
      </c>
      <c r="I381" s="2">
        <v>44177</v>
      </c>
      <c r="J381" s="2">
        <v>40064</v>
      </c>
      <c r="K381" s="2">
        <v>16616152</v>
      </c>
      <c r="L381" s="2">
        <v>4726199</v>
      </c>
      <c r="M381" s="2">
        <f t="shared" si="33"/>
        <v>11364.6</v>
      </c>
      <c r="N381" s="2">
        <f t="shared" si="34"/>
        <v>5666.8</v>
      </c>
      <c r="O381" s="7">
        <f t="shared" si="30"/>
        <v>0.45375162806500935</v>
      </c>
      <c r="P381" s="9">
        <f t="shared" si="35"/>
        <v>28.443402539890101</v>
      </c>
      <c r="Q381" s="7">
        <f t="shared" si="31"/>
        <v>0.49966589274590861</v>
      </c>
      <c r="R381" s="9">
        <f t="shared" si="32"/>
        <v>1.7052082816767684E-3</v>
      </c>
      <c r="V381">
        <v>56823</v>
      </c>
      <c r="W381">
        <v>28334</v>
      </c>
      <c r="Y381">
        <v>198861</v>
      </c>
      <c r="Z381">
        <v>183080</v>
      </c>
      <c r="AB381">
        <v>44118</v>
      </c>
      <c r="AC381">
        <v>40064</v>
      </c>
    </row>
    <row r="382" spans="1:29" x14ac:dyDescent="0.3">
      <c r="A382" t="s">
        <v>392</v>
      </c>
      <c r="B382" t="s">
        <v>515</v>
      </c>
      <c r="C382">
        <v>2024</v>
      </c>
      <c r="D382" s="2">
        <v>63565</v>
      </c>
      <c r="E382" s="2">
        <v>30354</v>
      </c>
      <c r="F382" s="2">
        <v>33211</v>
      </c>
      <c r="G382" s="2">
        <v>96162</v>
      </c>
      <c r="H382" s="2">
        <v>38648</v>
      </c>
      <c r="I382" s="2">
        <v>57514</v>
      </c>
      <c r="J382" s="2">
        <v>37553</v>
      </c>
      <c r="K382" s="2">
        <v>12382003</v>
      </c>
      <c r="L382" s="2">
        <v>9310114</v>
      </c>
      <c r="M382" s="2">
        <f t="shared" si="33"/>
        <v>12713</v>
      </c>
      <c r="N382" s="2">
        <f t="shared" si="34"/>
        <v>6642.2</v>
      </c>
      <c r="O382" s="7">
        <f t="shared" si="30"/>
        <v>0.39051808406647115</v>
      </c>
      <c r="P382" s="9">
        <f t="shared" si="35"/>
        <v>75.190694106599722</v>
      </c>
      <c r="Q382" s="7">
        <f t="shared" si="31"/>
        <v>0.40190511844595578</v>
      </c>
      <c r="R382" s="9">
        <f t="shared" si="32"/>
        <v>2.6821993178325026E-3</v>
      </c>
      <c r="V382">
        <v>63565</v>
      </c>
      <c r="W382">
        <v>33211</v>
      </c>
      <c r="Y382">
        <v>88295</v>
      </c>
      <c r="Z382">
        <v>44177</v>
      </c>
      <c r="AB382">
        <v>38648</v>
      </c>
      <c r="AC382">
        <v>37553</v>
      </c>
    </row>
    <row r="383" spans="1:29" x14ac:dyDescent="0.3">
      <c r="A383" t="s">
        <v>393</v>
      </c>
      <c r="B383" t="s">
        <v>515</v>
      </c>
      <c r="C383">
        <v>2024</v>
      </c>
      <c r="D383" s="2">
        <v>71253</v>
      </c>
      <c r="E383" s="2">
        <v>74166</v>
      </c>
      <c r="F383" s="2">
        <v>-2913</v>
      </c>
      <c r="G383" s="2">
        <v>65650</v>
      </c>
      <c r="H383" s="2">
        <v>41390</v>
      </c>
      <c r="I383" s="2">
        <v>24260</v>
      </c>
      <c r="J383" s="2">
        <v>8771</v>
      </c>
      <c r="K383" s="2">
        <v>14338770</v>
      </c>
      <c r="L383" s="2">
        <v>4274634</v>
      </c>
      <c r="M383" s="2">
        <f t="shared" si="33"/>
        <v>14250.6</v>
      </c>
      <c r="N383" s="2">
        <f t="shared" si="34"/>
        <v>-582.6</v>
      </c>
      <c r="O383" s="7">
        <f t="shared" si="30"/>
        <v>0.1336024371667936</v>
      </c>
      <c r="P383" s="9">
        <f t="shared" si="35"/>
        <v>29.811720252155521</v>
      </c>
      <c r="Q383" s="7">
        <f t="shared" si="31"/>
        <v>0.63046458492003044</v>
      </c>
      <c r="R383" s="9">
        <f t="shared" si="32"/>
        <v>-2.0315550078563223E-4</v>
      </c>
      <c r="V383">
        <v>71253</v>
      </c>
      <c r="W383">
        <v>-2913</v>
      </c>
      <c r="Y383">
        <v>96162</v>
      </c>
      <c r="Z383">
        <v>57514</v>
      </c>
      <c r="AB383">
        <v>41390</v>
      </c>
      <c r="AC383">
        <v>8771</v>
      </c>
    </row>
    <row r="384" spans="1:29" x14ac:dyDescent="0.3">
      <c r="A384" t="s">
        <v>394</v>
      </c>
      <c r="B384" t="s">
        <v>515</v>
      </c>
      <c r="C384">
        <v>2024</v>
      </c>
      <c r="D384" s="2">
        <v>183623</v>
      </c>
      <c r="E384" s="2">
        <v>71001</v>
      </c>
      <c r="F384" s="2">
        <v>112622</v>
      </c>
      <c r="G384" s="2">
        <v>181781</v>
      </c>
      <c r="H384" s="2">
        <v>66707</v>
      </c>
      <c r="I384" s="2">
        <v>115074</v>
      </c>
      <c r="J384" s="2">
        <v>112599</v>
      </c>
      <c r="K384" s="2">
        <v>19493859</v>
      </c>
      <c r="L384" s="2">
        <v>10601748</v>
      </c>
      <c r="M384" s="2">
        <f t="shared" si="33"/>
        <v>36724.6</v>
      </c>
      <c r="N384" s="2">
        <f t="shared" si="34"/>
        <v>22524.400000000001</v>
      </c>
      <c r="O384" s="7">
        <f t="shared" si="30"/>
        <v>0.6194211716295982</v>
      </c>
      <c r="P384" s="9">
        <f t="shared" si="35"/>
        <v>54.385065573727601</v>
      </c>
      <c r="Q384" s="7">
        <f t="shared" si="31"/>
        <v>0.36696354404475717</v>
      </c>
      <c r="R384" s="9">
        <f t="shared" si="32"/>
        <v>5.7773065866537762E-3</v>
      </c>
      <c r="V384">
        <v>183623</v>
      </c>
      <c r="W384">
        <v>112622</v>
      </c>
      <c r="Y384">
        <v>65650</v>
      </c>
      <c r="Z384">
        <v>24260</v>
      </c>
      <c r="AB384">
        <v>66707</v>
      </c>
      <c r="AC384">
        <v>112599</v>
      </c>
    </row>
    <row r="385" spans="1:29" x14ac:dyDescent="0.3">
      <c r="A385" t="s">
        <v>395</v>
      </c>
      <c r="B385" t="s">
        <v>515</v>
      </c>
      <c r="C385">
        <v>2024</v>
      </c>
      <c r="D385" s="2">
        <v>188311</v>
      </c>
      <c r="E385" s="2">
        <v>16710</v>
      </c>
      <c r="F385" s="2">
        <v>171601</v>
      </c>
      <c r="G385" s="2">
        <v>212985</v>
      </c>
      <c r="H385" s="2">
        <v>36038</v>
      </c>
      <c r="I385" s="2">
        <v>176947</v>
      </c>
      <c r="J385" s="2">
        <v>166869</v>
      </c>
      <c r="K385" s="2">
        <v>9413359</v>
      </c>
      <c r="L385" s="2">
        <v>13422509</v>
      </c>
      <c r="M385" s="2">
        <f t="shared" si="33"/>
        <v>37662.199999999997</v>
      </c>
      <c r="N385" s="2">
        <f t="shared" si="34"/>
        <v>34320.199999999997</v>
      </c>
      <c r="O385" s="7">
        <f t="shared" si="30"/>
        <v>0.78347770969786601</v>
      </c>
      <c r="P385" s="9">
        <f t="shared" si="35"/>
        <v>142.59000426946429</v>
      </c>
      <c r="Q385" s="7">
        <f t="shared" si="31"/>
        <v>0.16920440406601403</v>
      </c>
      <c r="R385" s="9">
        <f t="shared" si="32"/>
        <v>1.822951828353726E-2</v>
      </c>
      <c r="V385">
        <v>188311</v>
      </c>
      <c r="W385">
        <v>171601</v>
      </c>
      <c r="Y385">
        <v>181781</v>
      </c>
      <c r="Z385">
        <v>115074</v>
      </c>
      <c r="AB385">
        <v>36038</v>
      </c>
      <c r="AC385">
        <v>166869</v>
      </c>
    </row>
    <row r="386" spans="1:29" x14ac:dyDescent="0.3">
      <c r="A386" t="s">
        <v>396</v>
      </c>
      <c r="B386" t="s">
        <v>515</v>
      </c>
      <c r="C386">
        <v>2024</v>
      </c>
      <c r="D386" s="2">
        <v>87991</v>
      </c>
      <c r="E386" s="2">
        <v>16971</v>
      </c>
      <c r="F386" s="2">
        <v>71020</v>
      </c>
      <c r="G386" s="2">
        <v>120159</v>
      </c>
      <c r="H386" s="2">
        <v>92067</v>
      </c>
      <c r="I386" s="2">
        <v>28092</v>
      </c>
      <c r="J386" s="2">
        <v>11371</v>
      </c>
      <c r="K386" s="2">
        <v>6526534</v>
      </c>
      <c r="L386" s="2">
        <v>3824143</v>
      </c>
      <c r="M386" s="2">
        <f t="shared" si="33"/>
        <v>17598.2</v>
      </c>
      <c r="N386" s="2">
        <f t="shared" si="34"/>
        <v>14204</v>
      </c>
      <c r="O386" s="7">
        <f t="shared" ref="O386:O449" si="36">J386/G386</f>
        <v>9.4632944681630179E-2</v>
      </c>
      <c r="P386" s="9">
        <f t="shared" si="35"/>
        <v>58.593780404729365</v>
      </c>
      <c r="Q386" s="7">
        <f t="shared" ref="Q386:Q449" si="37">H386/G386</f>
        <v>0.76620977205203111</v>
      </c>
      <c r="R386" s="9">
        <f t="shared" ref="R386:R449" si="38">F386/K386</f>
        <v>1.0881732938187406E-2</v>
      </c>
      <c r="V386">
        <v>87991</v>
      </c>
      <c r="W386">
        <v>71020</v>
      </c>
      <c r="Y386">
        <v>212985</v>
      </c>
      <c r="Z386">
        <v>176947</v>
      </c>
      <c r="AB386">
        <v>92067</v>
      </c>
      <c r="AC386">
        <v>11371</v>
      </c>
    </row>
    <row r="387" spans="1:29" x14ac:dyDescent="0.3">
      <c r="A387" t="s">
        <v>397</v>
      </c>
      <c r="B387" t="s">
        <v>515</v>
      </c>
      <c r="C387">
        <v>2024</v>
      </c>
      <c r="D387" s="2">
        <v>56530</v>
      </c>
      <c r="E387" s="2">
        <v>21116</v>
      </c>
      <c r="F387" s="2">
        <v>35414</v>
      </c>
      <c r="G387" s="2">
        <v>121208</v>
      </c>
      <c r="H387" s="2">
        <v>15282</v>
      </c>
      <c r="I387" s="2">
        <v>105926</v>
      </c>
      <c r="J387" s="2">
        <v>89989</v>
      </c>
      <c r="K387" s="2">
        <v>8802986</v>
      </c>
      <c r="L387" s="2">
        <v>3371616</v>
      </c>
      <c r="M387" s="2">
        <f t="shared" ref="M387:M450" si="39">D387/5</f>
        <v>11306</v>
      </c>
      <c r="N387" s="2">
        <f t="shared" ref="N387:N450" si="40">F387/5</f>
        <v>7082.8</v>
      </c>
      <c r="O387" s="7">
        <f t="shared" si="36"/>
        <v>0.74243449277275431</v>
      </c>
      <c r="P387" s="9">
        <f t="shared" ref="P387:P450" si="41">L387/K387*100</f>
        <v>38.300822016529388</v>
      </c>
      <c r="Q387" s="7">
        <f t="shared" si="37"/>
        <v>0.12608078674674938</v>
      </c>
      <c r="R387" s="9">
        <f t="shared" si="38"/>
        <v>4.0229531206797328E-3</v>
      </c>
      <c r="V387">
        <v>56530</v>
      </c>
      <c r="W387">
        <v>35414</v>
      </c>
      <c r="Y387">
        <v>120159</v>
      </c>
      <c r="Z387">
        <v>28092</v>
      </c>
      <c r="AB387">
        <v>15282</v>
      </c>
      <c r="AC387">
        <v>89989</v>
      </c>
    </row>
    <row r="388" spans="1:29" x14ac:dyDescent="0.3">
      <c r="A388" t="s">
        <v>398</v>
      </c>
      <c r="B388" t="s">
        <v>515</v>
      </c>
      <c r="C388">
        <v>2024</v>
      </c>
      <c r="D388" s="2">
        <v>175147</v>
      </c>
      <c r="E388" s="2">
        <v>75031</v>
      </c>
      <c r="F388" s="2">
        <v>100116</v>
      </c>
      <c r="G388" s="2">
        <v>153496</v>
      </c>
      <c r="H388" s="2">
        <v>32071</v>
      </c>
      <c r="I388" s="2">
        <v>121425</v>
      </c>
      <c r="J388" s="2">
        <v>117118</v>
      </c>
      <c r="K388" s="2">
        <v>12379933</v>
      </c>
      <c r="L388" s="2">
        <v>11661957</v>
      </c>
      <c r="M388" s="2">
        <f t="shared" si="39"/>
        <v>35029.4</v>
      </c>
      <c r="N388" s="2">
        <f t="shared" si="40"/>
        <v>20023.2</v>
      </c>
      <c r="O388" s="7">
        <f t="shared" si="36"/>
        <v>0.76300359618491687</v>
      </c>
      <c r="P388" s="9">
        <f t="shared" si="41"/>
        <v>94.200485576133573</v>
      </c>
      <c r="Q388" s="7">
        <f t="shared" si="37"/>
        <v>0.20893704070464378</v>
      </c>
      <c r="R388" s="9">
        <f t="shared" si="38"/>
        <v>8.0869581442807488E-3</v>
      </c>
      <c r="V388">
        <v>175147</v>
      </c>
      <c r="W388">
        <v>100116</v>
      </c>
      <c r="Y388">
        <v>121208</v>
      </c>
      <c r="Z388">
        <v>105926</v>
      </c>
      <c r="AB388">
        <v>32071</v>
      </c>
      <c r="AC388">
        <v>117118</v>
      </c>
    </row>
    <row r="389" spans="1:29" x14ac:dyDescent="0.3">
      <c r="A389" t="s">
        <v>399</v>
      </c>
      <c r="B389" t="s">
        <v>515</v>
      </c>
      <c r="C389">
        <v>2024</v>
      </c>
      <c r="D389" s="2">
        <v>174661</v>
      </c>
      <c r="E389" s="2">
        <v>15906</v>
      </c>
      <c r="F389" s="2">
        <v>158755</v>
      </c>
      <c r="G389" s="2">
        <v>181346</v>
      </c>
      <c r="H389" s="2">
        <v>77987</v>
      </c>
      <c r="I389" s="2">
        <v>103359</v>
      </c>
      <c r="J389" s="2">
        <v>86210</v>
      </c>
      <c r="K389" s="2">
        <v>19004086</v>
      </c>
      <c r="L389" s="2">
        <v>12804815</v>
      </c>
      <c r="M389" s="2">
        <f t="shared" si="39"/>
        <v>34932.199999999997</v>
      </c>
      <c r="N389" s="2">
        <f t="shared" si="40"/>
        <v>31751</v>
      </c>
      <c r="O389" s="7">
        <f t="shared" si="36"/>
        <v>0.47538958675680743</v>
      </c>
      <c r="P389" s="9">
        <f t="shared" si="41"/>
        <v>67.379273067907604</v>
      </c>
      <c r="Q389" s="7">
        <f t="shared" si="37"/>
        <v>0.43004532771607867</v>
      </c>
      <c r="R389" s="9">
        <f t="shared" si="38"/>
        <v>8.3537298242072778E-3</v>
      </c>
      <c r="V389">
        <v>174661</v>
      </c>
      <c r="W389">
        <v>158755</v>
      </c>
      <c r="Y389">
        <v>153496</v>
      </c>
      <c r="Z389">
        <v>121425</v>
      </c>
      <c r="AB389">
        <v>77987</v>
      </c>
      <c r="AC389">
        <v>86210</v>
      </c>
    </row>
    <row r="390" spans="1:29" x14ac:dyDescent="0.3">
      <c r="A390" t="s">
        <v>400</v>
      </c>
      <c r="B390" t="s">
        <v>515</v>
      </c>
      <c r="C390">
        <v>2024</v>
      </c>
      <c r="D390" s="2">
        <v>104400</v>
      </c>
      <c r="E390" s="2">
        <v>35150</v>
      </c>
      <c r="F390" s="2">
        <v>69250</v>
      </c>
      <c r="G390" s="2">
        <v>121102</v>
      </c>
      <c r="H390" s="2">
        <v>57870</v>
      </c>
      <c r="I390" s="2">
        <v>63232</v>
      </c>
      <c r="J390" s="2">
        <v>44179</v>
      </c>
      <c r="K390" s="2">
        <v>12983372</v>
      </c>
      <c r="L390" s="2">
        <v>14590817</v>
      </c>
      <c r="M390" s="2">
        <f t="shared" si="39"/>
        <v>20880</v>
      </c>
      <c r="N390" s="2">
        <f t="shared" si="40"/>
        <v>13850</v>
      </c>
      <c r="O390" s="7">
        <f t="shared" si="36"/>
        <v>0.3648081782299219</v>
      </c>
      <c r="P390" s="9">
        <f t="shared" si="41"/>
        <v>112.38079753087256</v>
      </c>
      <c r="Q390" s="7">
        <f t="shared" si="37"/>
        <v>0.47786163729748476</v>
      </c>
      <c r="R390" s="9">
        <f t="shared" si="38"/>
        <v>5.333745347510647E-3</v>
      </c>
      <c r="V390">
        <v>104400</v>
      </c>
      <c r="W390">
        <v>69250</v>
      </c>
      <c r="Y390">
        <v>181346</v>
      </c>
      <c r="Z390">
        <v>103359</v>
      </c>
      <c r="AB390">
        <v>57870</v>
      </c>
      <c r="AC390">
        <v>44179</v>
      </c>
    </row>
    <row r="391" spans="1:29" x14ac:dyDescent="0.3">
      <c r="A391" t="s">
        <v>401</v>
      </c>
      <c r="B391" t="s">
        <v>515</v>
      </c>
      <c r="C391">
        <v>2024</v>
      </c>
      <c r="D391" s="2">
        <v>51283</v>
      </c>
      <c r="E391" s="2">
        <v>43691</v>
      </c>
      <c r="F391" s="2">
        <v>7592</v>
      </c>
      <c r="G391" s="2">
        <v>28717</v>
      </c>
      <c r="H391" s="2">
        <v>82065</v>
      </c>
      <c r="I391" s="2">
        <v>-53348</v>
      </c>
      <c r="J391" s="2">
        <v>-63786</v>
      </c>
      <c r="K391" s="2">
        <v>8952255</v>
      </c>
      <c r="L391" s="2">
        <v>6817242</v>
      </c>
      <c r="M391" s="2">
        <f t="shared" si="39"/>
        <v>10256.6</v>
      </c>
      <c r="N391" s="2">
        <f t="shared" si="40"/>
        <v>1518.4</v>
      </c>
      <c r="O391" s="7">
        <f t="shared" si="36"/>
        <v>-2.2211930215551763</v>
      </c>
      <c r="P391" s="9">
        <f t="shared" si="41"/>
        <v>76.151114998399848</v>
      </c>
      <c r="Q391" s="7">
        <f t="shared" si="37"/>
        <v>2.8577149423686317</v>
      </c>
      <c r="R391" s="9">
        <f t="shared" si="38"/>
        <v>8.4805448459633918E-4</v>
      </c>
      <c r="V391">
        <v>51283</v>
      </c>
      <c r="W391">
        <v>7592</v>
      </c>
      <c r="Y391">
        <v>121102</v>
      </c>
      <c r="Z391">
        <v>63232</v>
      </c>
      <c r="AB391">
        <v>82065</v>
      </c>
      <c r="AC391">
        <v>-63786</v>
      </c>
    </row>
    <row r="392" spans="1:29" x14ac:dyDescent="0.3">
      <c r="A392" t="s">
        <v>402</v>
      </c>
      <c r="B392" t="s">
        <v>515</v>
      </c>
      <c r="C392">
        <v>2024</v>
      </c>
      <c r="D392" s="2">
        <v>189076</v>
      </c>
      <c r="E392" s="2">
        <v>19752</v>
      </c>
      <c r="F392" s="2">
        <v>169324</v>
      </c>
      <c r="G392" s="2">
        <v>244750</v>
      </c>
      <c r="H392" s="2">
        <v>41819</v>
      </c>
      <c r="I392" s="2">
        <v>202931</v>
      </c>
      <c r="J392" s="2">
        <v>197067</v>
      </c>
      <c r="K392" s="2">
        <v>16364243</v>
      </c>
      <c r="L392" s="2">
        <v>14689625</v>
      </c>
      <c r="M392" s="2">
        <f t="shared" si="39"/>
        <v>37815.199999999997</v>
      </c>
      <c r="N392" s="2">
        <f t="shared" si="40"/>
        <v>33864.800000000003</v>
      </c>
      <c r="O392" s="7">
        <f t="shared" si="36"/>
        <v>0.80517671092951992</v>
      </c>
      <c r="P392" s="9">
        <f t="shared" si="41"/>
        <v>89.766602708111833</v>
      </c>
      <c r="Q392" s="7">
        <f t="shared" si="37"/>
        <v>0.17086414708886619</v>
      </c>
      <c r="R392" s="9">
        <f t="shared" si="38"/>
        <v>1.0347194184295602E-2</v>
      </c>
      <c r="V392">
        <v>189076</v>
      </c>
      <c r="W392">
        <v>169324</v>
      </c>
      <c r="Y392">
        <v>28717</v>
      </c>
      <c r="Z392">
        <v>-53348</v>
      </c>
      <c r="AB392">
        <v>41819</v>
      </c>
      <c r="AC392">
        <v>197067</v>
      </c>
    </row>
    <row r="393" spans="1:29" x14ac:dyDescent="0.3">
      <c r="A393" t="s">
        <v>403</v>
      </c>
      <c r="B393" t="s">
        <v>515</v>
      </c>
      <c r="C393">
        <v>2024</v>
      </c>
      <c r="D393" s="2">
        <v>82994</v>
      </c>
      <c r="E393" s="2">
        <v>25036</v>
      </c>
      <c r="F393" s="2">
        <v>57958</v>
      </c>
      <c r="G393" s="2">
        <v>155233</v>
      </c>
      <c r="H393" s="2">
        <v>64416</v>
      </c>
      <c r="I393" s="2">
        <v>90817</v>
      </c>
      <c r="J393" s="2">
        <v>79230</v>
      </c>
      <c r="K393" s="2">
        <v>6027557</v>
      </c>
      <c r="L393" s="2">
        <v>10435697</v>
      </c>
      <c r="M393" s="2">
        <f t="shared" si="39"/>
        <v>16598.8</v>
      </c>
      <c r="N393" s="2">
        <f t="shared" si="40"/>
        <v>11591.6</v>
      </c>
      <c r="O393" s="7">
        <f t="shared" si="36"/>
        <v>0.51039405281093586</v>
      </c>
      <c r="P393" s="9">
        <f t="shared" si="41"/>
        <v>173.1331118063255</v>
      </c>
      <c r="Q393" s="7">
        <f t="shared" si="37"/>
        <v>0.41496331321304103</v>
      </c>
      <c r="R393" s="9">
        <f t="shared" si="38"/>
        <v>9.6155042581928304E-3</v>
      </c>
      <c r="V393">
        <v>82994</v>
      </c>
      <c r="W393">
        <v>57958</v>
      </c>
      <c r="Y393">
        <v>244750</v>
      </c>
      <c r="Z393">
        <v>202931</v>
      </c>
      <c r="AB393">
        <v>64416</v>
      </c>
      <c r="AC393">
        <v>79230</v>
      </c>
    </row>
    <row r="394" spans="1:29" x14ac:dyDescent="0.3">
      <c r="A394" t="s">
        <v>404</v>
      </c>
      <c r="B394" t="s">
        <v>515</v>
      </c>
      <c r="C394">
        <v>2024</v>
      </c>
      <c r="D394" s="2">
        <v>181717</v>
      </c>
      <c r="E394" s="2">
        <v>40930</v>
      </c>
      <c r="F394" s="2">
        <v>140787</v>
      </c>
      <c r="G394" s="2">
        <v>242622</v>
      </c>
      <c r="H394" s="2">
        <v>45090</v>
      </c>
      <c r="I394" s="2">
        <v>197532</v>
      </c>
      <c r="J394" s="2">
        <v>181857</v>
      </c>
      <c r="K394" s="2">
        <v>14594731</v>
      </c>
      <c r="L394" s="2">
        <v>9703560</v>
      </c>
      <c r="M394" s="2">
        <f t="shared" si="39"/>
        <v>36343.4</v>
      </c>
      <c r="N394" s="2">
        <f t="shared" si="40"/>
        <v>28157.4</v>
      </c>
      <c r="O394" s="7">
        <f t="shared" si="36"/>
        <v>0.74954868066374858</v>
      </c>
      <c r="P394" s="9">
        <f t="shared" si="41"/>
        <v>66.486734150838416</v>
      </c>
      <c r="Q394" s="7">
        <f t="shared" si="37"/>
        <v>0.18584464722902291</v>
      </c>
      <c r="R394" s="9">
        <f t="shared" si="38"/>
        <v>9.6464265083063203E-3</v>
      </c>
      <c r="V394">
        <v>181717</v>
      </c>
      <c r="W394">
        <v>140787</v>
      </c>
      <c r="Y394">
        <v>155233</v>
      </c>
      <c r="Z394">
        <v>90817</v>
      </c>
      <c r="AB394">
        <v>45090</v>
      </c>
      <c r="AC394">
        <v>181857</v>
      </c>
    </row>
    <row r="395" spans="1:29" x14ac:dyDescent="0.3">
      <c r="A395" t="s">
        <v>405</v>
      </c>
      <c r="B395" t="s">
        <v>515</v>
      </c>
      <c r="C395">
        <v>2024</v>
      </c>
      <c r="D395" s="2">
        <v>93732</v>
      </c>
      <c r="E395" s="2">
        <v>56305</v>
      </c>
      <c r="F395" s="2">
        <v>37427</v>
      </c>
      <c r="G395" s="2">
        <v>103464</v>
      </c>
      <c r="H395" s="2">
        <v>24346</v>
      </c>
      <c r="I395" s="2">
        <v>79118</v>
      </c>
      <c r="J395" s="2">
        <v>76531</v>
      </c>
      <c r="K395" s="2">
        <v>18644251</v>
      </c>
      <c r="L395" s="2">
        <v>11578845</v>
      </c>
      <c r="M395" s="2">
        <f t="shared" si="39"/>
        <v>18746.400000000001</v>
      </c>
      <c r="N395" s="2">
        <f t="shared" si="40"/>
        <v>7485.4</v>
      </c>
      <c r="O395" s="7">
        <f t="shared" si="36"/>
        <v>0.73968723420706717</v>
      </c>
      <c r="P395" s="9">
        <f t="shared" si="41"/>
        <v>62.104103833401517</v>
      </c>
      <c r="Q395" s="7">
        <f t="shared" si="37"/>
        <v>0.23530889971391014</v>
      </c>
      <c r="R395" s="9">
        <f t="shared" si="38"/>
        <v>2.007428456096198E-3</v>
      </c>
      <c r="V395">
        <v>93732</v>
      </c>
      <c r="W395">
        <v>37427</v>
      </c>
      <c r="Y395">
        <v>242622</v>
      </c>
      <c r="Z395">
        <v>197532</v>
      </c>
      <c r="AB395">
        <v>24346</v>
      </c>
      <c r="AC395">
        <v>76531</v>
      </c>
    </row>
    <row r="396" spans="1:29" x14ac:dyDescent="0.3">
      <c r="A396" t="s">
        <v>406</v>
      </c>
      <c r="B396" t="s">
        <v>515</v>
      </c>
      <c r="C396">
        <v>2024</v>
      </c>
      <c r="D396" s="2">
        <v>119615</v>
      </c>
      <c r="E396" s="2">
        <v>46116</v>
      </c>
      <c r="F396" s="2">
        <v>73499</v>
      </c>
      <c r="G396" s="2">
        <v>179250</v>
      </c>
      <c r="H396" s="2">
        <v>40556</v>
      </c>
      <c r="I396" s="2">
        <v>138694</v>
      </c>
      <c r="J396" s="2">
        <v>125909</v>
      </c>
      <c r="K396" s="2">
        <v>6224744</v>
      </c>
      <c r="L396" s="2">
        <v>8970226</v>
      </c>
      <c r="M396" s="2">
        <f t="shared" si="39"/>
        <v>23923</v>
      </c>
      <c r="N396" s="2">
        <f t="shared" si="40"/>
        <v>14699.8</v>
      </c>
      <c r="O396" s="7">
        <f t="shared" si="36"/>
        <v>0.70242119944211989</v>
      </c>
      <c r="P396" s="9">
        <f t="shared" si="41"/>
        <v>144.1059423487938</v>
      </c>
      <c r="Q396" s="7">
        <f t="shared" si="37"/>
        <v>0.22625383542538355</v>
      </c>
      <c r="R396" s="9">
        <f t="shared" si="38"/>
        <v>1.1807553852817079E-2</v>
      </c>
      <c r="V396">
        <v>119615</v>
      </c>
      <c r="W396">
        <v>73499</v>
      </c>
      <c r="Y396">
        <v>103464</v>
      </c>
      <c r="Z396">
        <v>79118</v>
      </c>
      <c r="AB396">
        <v>40556</v>
      </c>
      <c r="AC396">
        <v>125909</v>
      </c>
    </row>
    <row r="397" spans="1:29" x14ac:dyDescent="0.3">
      <c r="A397" t="s">
        <v>407</v>
      </c>
      <c r="B397" t="s">
        <v>515</v>
      </c>
      <c r="C397">
        <v>2024</v>
      </c>
      <c r="D397" s="2">
        <v>194302</v>
      </c>
      <c r="E397" s="2">
        <v>39009</v>
      </c>
      <c r="F397" s="2">
        <v>155293</v>
      </c>
      <c r="G397" s="2">
        <v>246262</v>
      </c>
      <c r="H397" s="2">
        <v>48866</v>
      </c>
      <c r="I397" s="2">
        <v>197396</v>
      </c>
      <c r="J397" s="2">
        <v>188300</v>
      </c>
      <c r="K397" s="2">
        <v>13210710</v>
      </c>
      <c r="L397" s="2">
        <v>6489429</v>
      </c>
      <c r="M397" s="2">
        <f t="shared" si="39"/>
        <v>38860.400000000001</v>
      </c>
      <c r="N397" s="2">
        <f t="shared" si="40"/>
        <v>31058.6</v>
      </c>
      <c r="O397" s="7">
        <f t="shared" si="36"/>
        <v>0.76463278946812741</v>
      </c>
      <c r="P397" s="9">
        <f t="shared" si="41"/>
        <v>49.122484711268356</v>
      </c>
      <c r="Q397" s="7">
        <f t="shared" si="37"/>
        <v>0.19843093940599849</v>
      </c>
      <c r="R397" s="9">
        <f t="shared" si="38"/>
        <v>1.1755083564774338E-2</v>
      </c>
      <c r="V397">
        <v>194302</v>
      </c>
      <c r="W397">
        <v>155293</v>
      </c>
      <c r="Y397">
        <v>179250</v>
      </c>
      <c r="Z397">
        <v>138694</v>
      </c>
      <c r="AB397">
        <v>48866</v>
      </c>
      <c r="AC397">
        <v>188300</v>
      </c>
    </row>
    <row r="398" spans="1:29" x14ac:dyDescent="0.3">
      <c r="A398" t="s">
        <v>408</v>
      </c>
      <c r="B398" t="s">
        <v>515</v>
      </c>
      <c r="C398">
        <v>2024</v>
      </c>
      <c r="D398" s="2">
        <v>187488</v>
      </c>
      <c r="E398" s="2">
        <v>65915</v>
      </c>
      <c r="F398" s="2">
        <v>121573</v>
      </c>
      <c r="G398" s="2">
        <v>159631</v>
      </c>
      <c r="H398" s="2">
        <v>91637</v>
      </c>
      <c r="I398" s="2">
        <v>67994</v>
      </c>
      <c r="J398" s="2">
        <v>58044</v>
      </c>
      <c r="K398" s="2">
        <v>5294746</v>
      </c>
      <c r="L398" s="2">
        <v>8710754</v>
      </c>
      <c r="M398" s="2">
        <f t="shared" si="39"/>
        <v>37497.599999999999</v>
      </c>
      <c r="N398" s="2">
        <f t="shared" si="40"/>
        <v>24314.6</v>
      </c>
      <c r="O398" s="7">
        <f t="shared" si="36"/>
        <v>0.36361358382770265</v>
      </c>
      <c r="P398" s="9">
        <f t="shared" si="41"/>
        <v>164.51693811185655</v>
      </c>
      <c r="Q398" s="7">
        <f t="shared" si="37"/>
        <v>0.57405516472364393</v>
      </c>
      <c r="R398" s="9">
        <f t="shared" si="38"/>
        <v>2.2961063665754695E-2</v>
      </c>
      <c r="V398">
        <v>187488</v>
      </c>
      <c r="W398">
        <v>121573</v>
      </c>
      <c r="Y398">
        <v>246262</v>
      </c>
      <c r="Z398">
        <v>197396</v>
      </c>
      <c r="AB398">
        <v>91637</v>
      </c>
      <c r="AC398">
        <v>58044</v>
      </c>
    </row>
    <row r="399" spans="1:29" x14ac:dyDescent="0.3">
      <c r="A399" t="s">
        <v>409</v>
      </c>
      <c r="B399" t="s">
        <v>515</v>
      </c>
      <c r="C399">
        <v>2024</v>
      </c>
      <c r="D399" s="2">
        <v>179295</v>
      </c>
      <c r="E399" s="2">
        <v>11089</v>
      </c>
      <c r="F399" s="2">
        <v>168206</v>
      </c>
      <c r="G399" s="2">
        <v>225552</v>
      </c>
      <c r="H399" s="2">
        <v>89663</v>
      </c>
      <c r="I399" s="2">
        <v>135889</v>
      </c>
      <c r="J399" s="2">
        <v>123402</v>
      </c>
      <c r="K399" s="2">
        <v>18893787</v>
      </c>
      <c r="L399" s="2">
        <v>11512558</v>
      </c>
      <c r="M399" s="2">
        <f t="shared" si="39"/>
        <v>35859</v>
      </c>
      <c r="N399" s="2">
        <f t="shared" si="40"/>
        <v>33641.199999999997</v>
      </c>
      <c r="O399" s="7">
        <f t="shared" si="36"/>
        <v>0.54711108746541814</v>
      </c>
      <c r="P399" s="9">
        <f t="shared" si="41"/>
        <v>60.933035817541501</v>
      </c>
      <c r="Q399" s="7">
        <f t="shared" si="37"/>
        <v>0.3975269560899482</v>
      </c>
      <c r="R399" s="9">
        <f t="shared" si="38"/>
        <v>8.9027149506872294E-3</v>
      </c>
      <c r="V399">
        <v>179295</v>
      </c>
      <c r="W399">
        <v>168206</v>
      </c>
      <c r="Y399">
        <v>159631</v>
      </c>
      <c r="Z399">
        <v>67994</v>
      </c>
      <c r="AB399">
        <v>89663</v>
      </c>
      <c r="AC399">
        <v>123402</v>
      </c>
    </row>
    <row r="400" spans="1:29" x14ac:dyDescent="0.3">
      <c r="A400" t="s">
        <v>410</v>
      </c>
      <c r="B400" t="s">
        <v>515</v>
      </c>
      <c r="C400">
        <v>2024</v>
      </c>
      <c r="D400" s="2">
        <v>117494</v>
      </c>
      <c r="E400" s="2">
        <v>48547</v>
      </c>
      <c r="F400" s="2">
        <v>68947</v>
      </c>
      <c r="G400" s="2">
        <v>117742</v>
      </c>
      <c r="H400" s="2">
        <v>70296</v>
      </c>
      <c r="I400" s="2">
        <v>47446</v>
      </c>
      <c r="J400" s="2">
        <v>41616</v>
      </c>
      <c r="K400" s="2">
        <v>13299350</v>
      </c>
      <c r="L400" s="2">
        <v>12693374</v>
      </c>
      <c r="M400" s="2">
        <f t="shared" si="39"/>
        <v>23498.799999999999</v>
      </c>
      <c r="N400" s="2">
        <f t="shared" si="40"/>
        <v>13789.4</v>
      </c>
      <c r="O400" s="7">
        <f t="shared" si="36"/>
        <v>0.35345076523245739</v>
      </c>
      <c r="P400" s="9">
        <f t="shared" si="41"/>
        <v>95.443566790858199</v>
      </c>
      <c r="Q400" s="7">
        <f t="shared" si="37"/>
        <v>0.59703419340592145</v>
      </c>
      <c r="R400" s="9">
        <f t="shared" si="38"/>
        <v>5.1842383274370548E-3</v>
      </c>
      <c r="V400">
        <v>117494</v>
      </c>
      <c r="W400">
        <v>68947</v>
      </c>
      <c r="Y400">
        <v>225552</v>
      </c>
      <c r="Z400">
        <v>135889</v>
      </c>
      <c r="AB400">
        <v>70296</v>
      </c>
      <c r="AC400">
        <v>41616</v>
      </c>
    </row>
    <row r="401" spans="1:29" x14ac:dyDescent="0.3">
      <c r="A401" t="s">
        <v>411</v>
      </c>
      <c r="B401" t="s">
        <v>515</v>
      </c>
      <c r="C401">
        <v>2024</v>
      </c>
      <c r="D401" s="2">
        <v>137960</v>
      </c>
      <c r="E401" s="2">
        <v>73278</v>
      </c>
      <c r="F401" s="2">
        <v>64682</v>
      </c>
      <c r="G401" s="2">
        <v>139759</v>
      </c>
      <c r="H401" s="2">
        <v>86906</v>
      </c>
      <c r="I401" s="2">
        <v>52853</v>
      </c>
      <c r="J401" s="2">
        <v>41325</v>
      </c>
      <c r="K401" s="2">
        <v>18594228</v>
      </c>
      <c r="L401" s="2">
        <v>11831924</v>
      </c>
      <c r="M401" s="2">
        <f t="shared" si="39"/>
        <v>27592</v>
      </c>
      <c r="N401" s="2">
        <f t="shared" si="40"/>
        <v>12936.4</v>
      </c>
      <c r="O401" s="7">
        <f t="shared" si="36"/>
        <v>0.29568757647092497</v>
      </c>
      <c r="P401" s="9">
        <f t="shared" si="41"/>
        <v>63.632241144940252</v>
      </c>
      <c r="Q401" s="7">
        <f t="shared" si="37"/>
        <v>0.62182757461057969</v>
      </c>
      <c r="R401" s="9">
        <f t="shared" si="38"/>
        <v>3.4786063718267842E-3</v>
      </c>
      <c r="V401">
        <v>137960</v>
      </c>
      <c r="W401">
        <v>64682</v>
      </c>
      <c r="Y401">
        <v>117742</v>
      </c>
      <c r="Z401">
        <v>47446</v>
      </c>
      <c r="AB401">
        <v>86906</v>
      </c>
      <c r="AC401">
        <v>41325</v>
      </c>
    </row>
    <row r="402" spans="1:29" x14ac:dyDescent="0.3">
      <c r="A402" t="s">
        <v>412</v>
      </c>
      <c r="B402" t="s">
        <v>516</v>
      </c>
      <c r="C402">
        <v>2020</v>
      </c>
      <c r="D402" s="2">
        <v>159869</v>
      </c>
      <c r="E402" s="2">
        <v>18179</v>
      </c>
      <c r="F402" s="2">
        <v>141690</v>
      </c>
      <c r="G402" s="2">
        <v>210471</v>
      </c>
      <c r="H402" s="2">
        <v>70267</v>
      </c>
      <c r="I402" s="2">
        <v>140204</v>
      </c>
      <c r="J402" s="2">
        <v>121361</v>
      </c>
      <c r="K402" s="2">
        <v>14854352</v>
      </c>
      <c r="L402" s="2">
        <v>4888806</v>
      </c>
      <c r="M402" s="2">
        <f t="shared" si="39"/>
        <v>31973.8</v>
      </c>
      <c r="N402" s="2">
        <f t="shared" si="40"/>
        <v>28338</v>
      </c>
      <c r="O402" s="7">
        <f t="shared" si="36"/>
        <v>0.57661625592124333</v>
      </c>
      <c r="P402" s="9">
        <f t="shared" si="41"/>
        <v>32.911607318851743</v>
      </c>
      <c r="Q402" s="7">
        <f t="shared" si="37"/>
        <v>0.33385597065628991</v>
      </c>
      <c r="R402" s="9">
        <f t="shared" si="38"/>
        <v>9.5386187159157126E-3</v>
      </c>
      <c r="V402">
        <v>159869</v>
      </c>
      <c r="W402">
        <v>141690</v>
      </c>
      <c r="Y402">
        <v>139759</v>
      </c>
      <c r="Z402">
        <v>52853</v>
      </c>
      <c r="AB402">
        <v>70267</v>
      </c>
      <c r="AC402">
        <v>121361</v>
      </c>
    </row>
    <row r="403" spans="1:29" x14ac:dyDescent="0.3">
      <c r="A403" t="s">
        <v>413</v>
      </c>
      <c r="B403" t="s">
        <v>516</v>
      </c>
      <c r="C403">
        <v>2020</v>
      </c>
      <c r="D403" s="2">
        <v>148696</v>
      </c>
      <c r="E403" s="2">
        <v>60939</v>
      </c>
      <c r="F403" s="2">
        <v>87757</v>
      </c>
      <c r="G403" s="2">
        <v>137273</v>
      </c>
      <c r="H403" s="2">
        <v>71526</v>
      </c>
      <c r="I403" s="2">
        <v>65747</v>
      </c>
      <c r="J403" s="2">
        <v>53298</v>
      </c>
      <c r="K403" s="2">
        <v>15011762</v>
      </c>
      <c r="L403" s="2">
        <v>7058848</v>
      </c>
      <c r="M403" s="2">
        <f t="shared" si="39"/>
        <v>29739.200000000001</v>
      </c>
      <c r="N403" s="2">
        <f t="shared" si="40"/>
        <v>17551.400000000001</v>
      </c>
      <c r="O403" s="7">
        <f t="shared" si="36"/>
        <v>0.38826280477588454</v>
      </c>
      <c r="P403" s="9">
        <f t="shared" si="41"/>
        <v>47.022115058845195</v>
      </c>
      <c r="Q403" s="7">
        <f t="shared" si="37"/>
        <v>0.52104929592855109</v>
      </c>
      <c r="R403" s="9">
        <f t="shared" si="38"/>
        <v>5.8458827151669467E-3</v>
      </c>
      <c r="V403">
        <v>148696</v>
      </c>
      <c r="W403">
        <v>87757</v>
      </c>
      <c r="Y403">
        <v>210471</v>
      </c>
      <c r="Z403">
        <v>140204</v>
      </c>
      <c r="AB403">
        <v>71526</v>
      </c>
      <c r="AC403">
        <v>53298</v>
      </c>
    </row>
    <row r="404" spans="1:29" x14ac:dyDescent="0.3">
      <c r="A404" t="s">
        <v>414</v>
      </c>
      <c r="B404" t="s">
        <v>516</v>
      </c>
      <c r="C404">
        <v>2020</v>
      </c>
      <c r="D404" s="2">
        <v>136661</v>
      </c>
      <c r="E404" s="2">
        <v>32746</v>
      </c>
      <c r="F404" s="2">
        <v>103915</v>
      </c>
      <c r="G404" s="2">
        <v>191905</v>
      </c>
      <c r="H404" s="2">
        <v>73810</v>
      </c>
      <c r="I404" s="2">
        <v>118095</v>
      </c>
      <c r="J404" s="2">
        <v>98334</v>
      </c>
      <c r="K404" s="2">
        <v>12486327</v>
      </c>
      <c r="L404" s="2">
        <v>5562605</v>
      </c>
      <c r="M404" s="2">
        <f t="shared" si="39"/>
        <v>27332.2</v>
      </c>
      <c r="N404" s="2">
        <f t="shared" si="40"/>
        <v>20783</v>
      </c>
      <c r="O404" s="7">
        <f t="shared" si="36"/>
        <v>0.51240978609207677</v>
      </c>
      <c r="P404" s="9">
        <f t="shared" si="41"/>
        <v>44.549570101760111</v>
      </c>
      <c r="Q404" s="7">
        <f t="shared" si="37"/>
        <v>0.38461738881217267</v>
      </c>
      <c r="R404" s="9">
        <f t="shared" si="38"/>
        <v>8.3223032682068956E-3</v>
      </c>
      <c r="V404">
        <v>136661</v>
      </c>
      <c r="W404">
        <v>103915</v>
      </c>
      <c r="Y404">
        <v>137273</v>
      </c>
      <c r="Z404">
        <v>65747</v>
      </c>
      <c r="AB404">
        <v>73810</v>
      </c>
      <c r="AC404">
        <v>98334</v>
      </c>
    </row>
    <row r="405" spans="1:29" x14ac:dyDescent="0.3">
      <c r="A405" t="s">
        <v>415</v>
      </c>
      <c r="B405" t="s">
        <v>516</v>
      </c>
      <c r="C405">
        <v>2020</v>
      </c>
      <c r="D405" s="2">
        <v>183669</v>
      </c>
      <c r="E405" s="2">
        <v>75677</v>
      </c>
      <c r="F405" s="2">
        <v>107992</v>
      </c>
      <c r="G405" s="2">
        <v>130651</v>
      </c>
      <c r="H405" s="2">
        <v>89567</v>
      </c>
      <c r="I405" s="2">
        <v>41084</v>
      </c>
      <c r="J405" s="2">
        <v>24047</v>
      </c>
      <c r="K405" s="2">
        <v>11417954</v>
      </c>
      <c r="L405" s="2">
        <v>14187858</v>
      </c>
      <c r="M405" s="2">
        <f t="shared" si="39"/>
        <v>36733.800000000003</v>
      </c>
      <c r="N405" s="2">
        <f t="shared" si="40"/>
        <v>21598.400000000001</v>
      </c>
      <c r="O405" s="7">
        <f t="shared" si="36"/>
        <v>0.18405523111189351</v>
      </c>
      <c r="P405" s="9">
        <f t="shared" si="41"/>
        <v>124.25919740086533</v>
      </c>
      <c r="Q405" s="7">
        <f t="shared" si="37"/>
        <v>0.68554393001201674</v>
      </c>
      <c r="R405" s="9">
        <f t="shared" si="38"/>
        <v>9.4580867990885237E-3</v>
      </c>
      <c r="V405">
        <v>183669</v>
      </c>
      <c r="W405">
        <v>107992</v>
      </c>
      <c r="Y405">
        <v>191905</v>
      </c>
      <c r="Z405">
        <v>118095</v>
      </c>
      <c r="AB405">
        <v>89567</v>
      </c>
      <c r="AC405">
        <v>24047</v>
      </c>
    </row>
    <row r="406" spans="1:29" x14ac:dyDescent="0.3">
      <c r="A406" t="s">
        <v>416</v>
      </c>
      <c r="B406" t="s">
        <v>516</v>
      </c>
      <c r="C406">
        <v>2020</v>
      </c>
      <c r="D406" s="2">
        <v>62109</v>
      </c>
      <c r="E406" s="2">
        <v>32010</v>
      </c>
      <c r="F406" s="2">
        <v>30099</v>
      </c>
      <c r="G406" s="2">
        <v>58886</v>
      </c>
      <c r="H406" s="2">
        <v>23472</v>
      </c>
      <c r="I406" s="2">
        <v>35414</v>
      </c>
      <c r="J406" s="2">
        <v>16607</v>
      </c>
      <c r="K406" s="2">
        <v>11970199</v>
      </c>
      <c r="L406" s="2">
        <v>3463001</v>
      </c>
      <c r="M406" s="2">
        <f t="shared" si="39"/>
        <v>12421.8</v>
      </c>
      <c r="N406" s="2">
        <f t="shared" si="40"/>
        <v>6019.8</v>
      </c>
      <c r="O406" s="7">
        <f t="shared" si="36"/>
        <v>0.28201949529599563</v>
      </c>
      <c r="P406" s="9">
        <f t="shared" si="41"/>
        <v>28.930187376166426</v>
      </c>
      <c r="Q406" s="7">
        <f t="shared" si="37"/>
        <v>0.39860068607139221</v>
      </c>
      <c r="R406" s="9">
        <f t="shared" si="38"/>
        <v>2.5144945376430251E-3</v>
      </c>
      <c r="V406">
        <v>62109</v>
      </c>
      <c r="W406">
        <v>30099</v>
      </c>
      <c r="Y406">
        <v>130651</v>
      </c>
      <c r="Z406">
        <v>41084</v>
      </c>
      <c r="AB406">
        <v>23472</v>
      </c>
      <c r="AC406">
        <v>16607</v>
      </c>
    </row>
    <row r="407" spans="1:29" x14ac:dyDescent="0.3">
      <c r="A407" t="s">
        <v>417</v>
      </c>
      <c r="B407" t="s">
        <v>516</v>
      </c>
      <c r="C407">
        <v>2020</v>
      </c>
      <c r="D407" s="2">
        <v>84518</v>
      </c>
      <c r="E407" s="2">
        <v>63909</v>
      </c>
      <c r="F407" s="2">
        <v>20609</v>
      </c>
      <c r="G407" s="2">
        <v>58960</v>
      </c>
      <c r="H407" s="2">
        <v>84624</v>
      </c>
      <c r="I407" s="2">
        <v>-25664</v>
      </c>
      <c r="J407" s="2">
        <v>-42946</v>
      </c>
      <c r="K407" s="2">
        <v>12818114</v>
      </c>
      <c r="L407" s="2">
        <v>3239017</v>
      </c>
      <c r="M407" s="2">
        <f t="shared" si="39"/>
        <v>16903.599999999999</v>
      </c>
      <c r="N407" s="2">
        <f t="shared" si="40"/>
        <v>4121.8</v>
      </c>
      <c r="O407" s="7">
        <f t="shared" si="36"/>
        <v>-0.72839213025780192</v>
      </c>
      <c r="P407" s="9">
        <f t="shared" si="41"/>
        <v>25.269060643398866</v>
      </c>
      <c r="Q407" s="7">
        <f t="shared" si="37"/>
        <v>1.4352781546811397</v>
      </c>
      <c r="R407" s="9">
        <f t="shared" si="38"/>
        <v>1.6078028327724343E-3</v>
      </c>
      <c r="V407">
        <v>84518</v>
      </c>
      <c r="W407">
        <v>20609</v>
      </c>
      <c r="Y407">
        <v>58886</v>
      </c>
      <c r="Z407">
        <v>35414</v>
      </c>
      <c r="AB407">
        <v>84624</v>
      </c>
      <c r="AC407">
        <v>-42946</v>
      </c>
    </row>
    <row r="408" spans="1:29" x14ac:dyDescent="0.3">
      <c r="A408" t="s">
        <v>418</v>
      </c>
      <c r="B408" t="s">
        <v>516</v>
      </c>
      <c r="C408">
        <v>2020</v>
      </c>
      <c r="D408" s="2">
        <v>55075</v>
      </c>
      <c r="E408" s="2">
        <v>58454</v>
      </c>
      <c r="F408" s="2">
        <v>-3379</v>
      </c>
      <c r="G408" s="2">
        <v>44986</v>
      </c>
      <c r="H408" s="2">
        <v>87766</v>
      </c>
      <c r="I408" s="2">
        <v>-42780</v>
      </c>
      <c r="J408" s="2">
        <v>-60212</v>
      </c>
      <c r="K408" s="2">
        <v>5273146</v>
      </c>
      <c r="L408" s="2">
        <v>8453174</v>
      </c>
      <c r="M408" s="2">
        <f t="shared" si="39"/>
        <v>11015</v>
      </c>
      <c r="N408" s="2">
        <f t="shared" si="40"/>
        <v>-675.8</v>
      </c>
      <c r="O408" s="7">
        <f t="shared" si="36"/>
        <v>-1.338460854488063</v>
      </c>
      <c r="P408" s="9">
        <f t="shared" si="41"/>
        <v>160.30608672697474</v>
      </c>
      <c r="Q408" s="7">
        <f t="shared" si="37"/>
        <v>1.9509625216734094</v>
      </c>
      <c r="R408" s="9">
        <f t="shared" si="38"/>
        <v>-6.4079393970885691E-4</v>
      </c>
      <c r="V408">
        <v>55075</v>
      </c>
      <c r="W408">
        <v>-3379</v>
      </c>
      <c r="Y408">
        <v>58960</v>
      </c>
      <c r="Z408">
        <v>-25664</v>
      </c>
      <c r="AB408">
        <v>87766</v>
      </c>
      <c r="AC408">
        <v>-60212</v>
      </c>
    </row>
    <row r="409" spans="1:29" x14ac:dyDescent="0.3">
      <c r="A409" t="s">
        <v>419</v>
      </c>
      <c r="B409" t="s">
        <v>516</v>
      </c>
      <c r="C409">
        <v>2020</v>
      </c>
      <c r="D409" s="2">
        <v>144840</v>
      </c>
      <c r="E409" s="2">
        <v>62142</v>
      </c>
      <c r="F409" s="2">
        <v>82698</v>
      </c>
      <c r="G409" s="2">
        <v>159005</v>
      </c>
      <c r="H409" s="2">
        <v>19493</v>
      </c>
      <c r="I409" s="2">
        <v>139512</v>
      </c>
      <c r="J409" s="2">
        <v>120195</v>
      </c>
      <c r="K409" s="2">
        <v>18141428</v>
      </c>
      <c r="L409" s="2">
        <v>10026492</v>
      </c>
      <c r="M409" s="2">
        <f t="shared" si="39"/>
        <v>28968</v>
      </c>
      <c r="N409" s="2">
        <f t="shared" si="40"/>
        <v>16539.599999999999</v>
      </c>
      <c r="O409" s="7">
        <f t="shared" si="36"/>
        <v>0.75591962516901989</v>
      </c>
      <c r="P409" s="9">
        <f t="shared" si="41"/>
        <v>55.268482723631237</v>
      </c>
      <c r="Q409" s="7">
        <f t="shared" si="37"/>
        <v>0.1225936291311594</v>
      </c>
      <c r="R409" s="9">
        <f t="shared" si="38"/>
        <v>4.5585165622022703E-3</v>
      </c>
      <c r="V409">
        <v>144840</v>
      </c>
      <c r="W409">
        <v>82698</v>
      </c>
      <c r="Y409">
        <v>44986</v>
      </c>
      <c r="Z409">
        <v>-42780</v>
      </c>
      <c r="AB409">
        <v>19493</v>
      </c>
      <c r="AC409">
        <v>120195</v>
      </c>
    </row>
    <row r="410" spans="1:29" x14ac:dyDescent="0.3">
      <c r="A410" t="s">
        <v>420</v>
      </c>
      <c r="B410" t="s">
        <v>516</v>
      </c>
      <c r="C410">
        <v>2020</v>
      </c>
      <c r="D410" s="2">
        <v>93472</v>
      </c>
      <c r="E410" s="2">
        <v>59437</v>
      </c>
      <c r="F410" s="2">
        <v>34035</v>
      </c>
      <c r="G410" s="2">
        <v>103451</v>
      </c>
      <c r="H410" s="2">
        <v>74711</v>
      </c>
      <c r="I410" s="2">
        <v>28740</v>
      </c>
      <c r="J410" s="2">
        <v>19924</v>
      </c>
      <c r="K410" s="2">
        <v>5077175</v>
      </c>
      <c r="L410" s="2">
        <v>14074355</v>
      </c>
      <c r="M410" s="2">
        <f t="shared" si="39"/>
        <v>18694.400000000001</v>
      </c>
      <c r="N410" s="2">
        <f t="shared" si="40"/>
        <v>6807</v>
      </c>
      <c r="O410" s="7">
        <f t="shared" si="36"/>
        <v>0.19259359503533074</v>
      </c>
      <c r="P410" s="9">
        <f t="shared" si="41"/>
        <v>277.20838852314523</v>
      </c>
      <c r="Q410" s="7">
        <f t="shared" si="37"/>
        <v>0.72218731573401895</v>
      </c>
      <c r="R410" s="9">
        <f t="shared" si="38"/>
        <v>6.7035309990299725E-3</v>
      </c>
      <c r="V410">
        <v>93472</v>
      </c>
      <c r="W410">
        <v>34035</v>
      </c>
      <c r="Y410">
        <v>159005</v>
      </c>
      <c r="Z410">
        <v>139512</v>
      </c>
      <c r="AB410">
        <v>74711</v>
      </c>
      <c r="AC410">
        <v>19924</v>
      </c>
    </row>
    <row r="411" spans="1:29" x14ac:dyDescent="0.3">
      <c r="A411" t="s">
        <v>421</v>
      </c>
      <c r="B411" t="s">
        <v>516</v>
      </c>
      <c r="C411">
        <v>2020</v>
      </c>
      <c r="D411" s="2">
        <v>96733</v>
      </c>
      <c r="E411" s="2">
        <v>21240</v>
      </c>
      <c r="F411" s="2">
        <v>75493</v>
      </c>
      <c r="G411" s="2">
        <v>193727</v>
      </c>
      <c r="H411" s="2">
        <v>86363</v>
      </c>
      <c r="I411" s="2">
        <v>107364</v>
      </c>
      <c r="J411" s="2">
        <v>97105</v>
      </c>
      <c r="K411" s="2">
        <v>14618395</v>
      </c>
      <c r="L411" s="2">
        <v>6012359</v>
      </c>
      <c r="M411" s="2">
        <f t="shared" si="39"/>
        <v>19346.599999999999</v>
      </c>
      <c r="N411" s="2">
        <f t="shared" si="40"/>
        <v>15098.6</v>
      </c>
      <c r="O411" s="7">
        <f t="shared" si="36"/>
        <v>0.50124659959633922</v>
      </c>
      <c r="P411" s="9">
        <f t="shared" si="41"/>
        <v>41.12872172355447</v>
      </c>
      <c r="Q411" s="7">
        <f t="shared" si="37"/>
        <v>0.44579743659892529</v>
      </c>
      <c r="R411" s="9">
        <f t="shared" si="38"/>
        <v>5.1642468273705834E-3</v>
      </c>
      <c r="V411">
        <v>96733</v>
      </c>
      <c r="W411">
        <v>75493</v>
      </c>
      <c r="Y411">
        <v>103451</v>
      </c>
      <c r="Z411">
        <v>28740</v>
      </c>
      <c r="AB411">
        <v>86363</v>
      </c>
      <c r="AC411">
        <v>97105</v>
      </c>
    </row>
    <row r="412" spans="1:29" x14ac:dyDescent="0.3">
      <c r="A412" t="s">
        <v>422</v>
      </c>
      <c r="B412" t="s">
        <v>516</v>
      </c>
      <c r="C412">
        <v>2020</v>
      </c>
      <c r="D412" s="2">
        <v>64849</v>
      </c>
      <c r="E412" s="2">
        <v>64869</v>
      </c>
      <c r="F412" s="2">
        <v>-20</v>
      </c>
      <c r="G412" s="2">
        <v>83075</v>
      </c>
      <c r="H412" s="2">
        <v>85910</v>
      </c>
      <c r="I412" s="2">
        <v>-2835</v>
      </c>
      <c r="J412" s="2">
        <v>-7359</v>
      </c>
      <c r="K412" s="2">
        <v>14511997</v>
      </c>
      <c r="L412" s="2">
        <v>9912880</v>
      </c>
      <c r="M412" s="2">
        <f t="shared" si="39"/>
        <v>12969.8</v>
      </c>
      <c r="N412" s="2">
        <f t="shared" si="40"/>
        <v>-4</v>
      </c>
      <c r="O412" s="7">
        <f t="shared" si="36"/>
        <v>-8.8582606078844411E-2</v>
      </c>
      <c r="P412" s="9">
        <f t="shared" si="41"/>
        <v>68.308172886198918</v>
      </c>
      <c r="Q412" s="7">
        <f t="shared" si="37"/>
        <v>1.0341257899488414</v>
      </c>
      <c r="R412" s="9">
        <f t="shared" si="38"/>
        <v>-1.3781700754210465E-6</v>
      </c>
      <c r="V412">
        <v>64849</v>
      </c>
      <c r="W412">
        <v>-20</v>
      </c>
      <c r="Y412">
        <v>193727</v>
      </c>
      <c r="Z412">
        <v>107364</v>
      </c>
      <c r="AB412">
        <v>85910</v>
      </c>
      <c r="AC412">
        <v>-7359</v>
      </c>
    </row>
    <row r="413" spans="1:29" x14ac:dyDescent="0.3">
      <c r="A413" t="s">
        <v>423</v>
      </c>
      <c r="B413" t="s">
        <v>516</v>
      </c>
      <c r="C413">
        <v>2020</v>
      </c>
      <c r="D413" s="2">
        <v>101631</v>
      </c>
      <c r="E413" s="2">
        <v>19885</v>
      </c>
      <c r="F413" s="2">
        <v>81746</v>
      </c>
      <c r="G413" s="2">
        <v>161405</v>
      </c>
      <c r="H413" s="2">
        <v>69306</v>
      </c>
      <c r="I413" s="2">
        <v>92099</v>
      </c>
      <c r="J413" s="2">
        <v>89321</v>
      </c>
      <c r="K413" s="2">
        <v>18958719</v>
      </c>
      <c r="L413" s="2">
        <v>3422381</v>
      </c>
      <c r="M413" s="2">
        <f t="shared" si="39"/>
        <v>20326.2</v>
      </c>
      <c r="N413" s="2">
        <f t="shared" si="40"/>
        <v>16349.2</v>
      </c>
      <c r="O413" s="7">
        <f t="shared" si="36"/>
        <v>0.55339673492147079</v>
      </c>
      <c r="P413" s="9">
        <f t="shared" si="41"/>
        <v>18.051752336220606</v>
      </c>
      <c r="Q413" s="7">
        <f t="shared" si="37"/>
        <v>0.42939190235742386</v>
      </c>
      <c r="R413" s="9">
        <f t="shared" si="38"/>
        <v>4.3117892089650153E-3</v>
      </c>
      <c r="V413">
        <v>101631</v>
      </c>
      <c r="W413">
        <v>81746</v>
      </c>
      <c r="Y413">
        <v>83075</v>
      </c>
      <c r="Z413">
        <v>-2835</v>
      </c>
      <c r="AB413">
        <v>69306</v>
      </c>
      <c r="AC413">
        <v>89321</v>
      </c>
    </row>
    <row r="414" spans="1:29" x14ac:dyDescent="0.3">
      <c r="A414" t="s">
        <v>424</v>
      </c>
      <c r="B414" t="s">
        <v>516</v>
      </c>
      <c r="C414">
        <v>2020</v>
      </c>
      <c r="D414" s="2">
        <v>145998</v>
      </c>
      <c r="E414" s="2">
        <v>59812</v>
      </c>
      <c r="F414" s="2">
        <v>86186</v>
      </c>
      <c r="G414" s="2">
        <v>156686</v>
      </c>
      <c r="H414" s="2">
        <v>94151</v>
      </c>
      <c r="I414" s="2">
        <v>62535</v>
      </c>
      <c r="J414" s="2">
        <v>48403</v>
      </c>
      <c r="K414" s="2">
        <v>10679042</v>
      </c>
      <c r="L414" s="2">
        <v>3401067</v>
      </c>
      <c r="M414" s="2">
        <f t="shared" si="39"/>
        <v>29199.599999999999</v>
      </c>
      <c r="N414" s="2">
        <f t="shared" si="40"/>
        <v>17237.2</v>
      </c>
      <c r="O414" s="7">
        <f t="shared" si="36"/>
        <v>0.30891719745222929</v>
      </c>
      <c r="P414" s="9">
        <f t="shared" si="41"/>
        <v>31.848053411532607</v>
      </c>
      <c r="Q414" s="7">
        <f t="shared" si="37"/>
        <v>0.60088967744406008</v>
      </c>
      <c r="R414" s="9">
        <f t="shared" si="38"/>
        <v>8.0705741207872383E-3</v>
      </c>
      <c r="V414">
        <v>145998</v>
      </c>
      <c r="W414">
        <v>86186</v>
      </c>
      <c r="Y414">
        <v>161405</v>
      </c>
      <c r="Z414">
        <v>92099</v>
      </c>
      <c r="AB414">
        <v>94151</v>
      </c>
      <c r="AC414">
        <v>48403</v>
      </c>
    </row>
    <row r="415" spans="1:29" x14ac:dyDescent="0.3">
      <c r="A415" t="s">
        <v>425</v>
      </c>
      <c r="B415" t="s">
        <v>516</v>
      </c>
      <c r="C415">
        <v>2020</v>
      </c>
      <c r="D415" s="2">
        <v>66288</v>
      </c>
      <c r="E415" s="2">
        <v>77580</v>
      </c>
      <c r="F415" s="2">
        <v>-11292</v>
      </c>
      <c r="G415" s="2">
        <v>16076</v>
      </c>
      <c r="H415" s="2">
        <v>61403</v>
      </c>
      <c r="I415" s="2">
        <v>-45327</v>
      </c>
      <c r="J415" s="2">
        <v>-56495</v>
      </c>
      <c r="K415" s="2">
        <v>14392609</v>
      </c>
      <c r="L415" s="2">
        <v>3312023</v>
      </c>
      <c r="M415" s="2">
        <f t="shared" si="39"/>
        <v>13257.6</v>
      </c>
      <c r="N415" s="2">
        <f t="shared" si="40"/>
        <v>-2258.4</v>
      </c>
      <c r="O415" s="7">
        <f t="shared" si="36"/>
        <v>-3.5142448370241355</v>
      </c>
      <c r="P415" s="9">
        <f t="shared" si="41"/>
        <v>23.011970935915787</v>
      </c>
      <c r="Q415" s="7">
        <f t="shared" si="37"/>
        <v>3.8195446628514556</v>
      </c>
      <c r="R415" s="9">
        <f t="shared" si="38"/>
        <v>-7.8456935778634714E-4</v>
      </c>
      <c r="V415">
        <v>66288</v>
      </c>
      <c r="W415">
        <v>-11292</v>
      </c>
      <c r="Y415">
        <v>156686</v>
      </c>
      <c r="Z415">
        <v>62535</v>
      </c>
      <c r="AB415">
        <v>61403</v>
      </c>
      <c r="AC415">
        <v>-56495</v>
      </c>
    </row>
    <row r="416" spans="1:29" x14ac:dyDescent="0.3">
      <c r="A416" t="s">
        <v>426</v>
      </c>
      <c r="B416" t="s">
        <v>516</v>
      </c>
      <c r="C416">
        <v>2020</v>
      </c>
      <c r="D416" s="2">
        <v>109871</v>
      </c>
      <c r="E416" s="2">
        <v>42174</v>
      </c>
      <c r="F416" s="2">
        <v>67697</v>
      </c>
      <c r="G416" s="2">
        <v>187448</v>
      </c>
      <c r="H416" s="2">
        <v>21581</v>
      </c>
      <c r="I416" s="2">
        <v>165867</v>
      </c>
      <c r="J416" s="2">
        <v>152016</v>
      </c>
      <c r="K416" s="2">
        <v>6899054</v>
      </c>
      <c r="L416" s="2">
        <v>6457550</v>
      </c>
      <c r="M416" s="2">
        <f t="shared" si="39"/>
        <v>21974.2</v>
      </c>
      <c r="N416" s="2">
        <f t="shared" si="40"/>
        <v>13539.4</v>
      </c>
      <c r="O416" s="7">
        <f t="shared" si="36"/>
        <v>0.8109769109299646</v>
      </c>
      <c r="P416" s="9">
        <f t="shared" si="41"/>
        <v>93.600513925532397</v>
      </c>
      <c r="Q416" s="7">
        <f t="shared" si="37"/>
        <v>0.11513059621868466</v>
      </c>
      <c r="R416" s="9">
        <f t="shared" si="38"/>
        <v>9.8125047289092104E-3</v>
      </c>
      <c r="V416">
        <v>109871</v>
      </c>
      <c r="W416">
        <v>67697</v>
      </c>
      <c r="Y416">
        <v>16076</v>
      </c>
      <c r="Z416">
        <v>-45327</v>
      </c>
      <c r="AB416">
        <v>21581</v>
      </c>
      <c r="AC416">
        <v>152016</v>
      </c>
    </row>
    <row r="417" spans="1:29" x14ac:dyDescent="0.3">
      <c r="A417" t="s">
        <v>427</v>
      </c>
      <c r="B417" t="s">
        <v>516</v>
      </c>
      <c r="C417">
        <v>2020</v>
      </c>
      <c r="D417" s="2">
        <v>76649</v>
      </c>
      <c r="E417" s="2">
        <v>24567</v>
      </c>
      <c r="F417" s="2">
        <v>52082</v>
      </c>
      <c r="G417" s="2">
        <v>152486</v>
      </c>
      <c r="H417" s="2">
        <v>76944</v>
      </c>
      <c r="I417" s="2">
        <v>75542</v>
      </c>
      <c r="J417" s="2">
        <v>61076</v>
      </c>
      <c r="K417" s="2">
        <v>18136003</v>
      </c>
      <c r="L417" s="2">
        <v>5770742</v>
      </c>
      <c r="M417" s="2">
        <f t="shared" si="39"/>
        <v>15329.8</v>
      </c>
      <c r="N417" s="2">
        <f t="shared" si="40"/>
        <v>10416.4</v>
      </c>
      <c r="O417" s="7">
        <f t="shared" si="36"/>
        <v>0.40053513109400207</v>
      </c>
      <c r="P417" s="9">
        <f t="shared" si="41"/>
        <v>31.819260285742125</v>
      </c>
      <c r="Q417" s="7">
        <f t="shared" si="37"/>
        <v>0.50459714334430705</v>
      </c>
      <c r="R417" s="9">
        <f t="shared" si="38"/>
        <v>2.8717463269056585E-3</v>
      </c>
      <c r="V417">
        <v>76649</v>
      </c>
      <c r="W417">
        <v>52082</v>
      </c>
      <c r="Y417">
        <v>187448</v>
      </c>
      <c r="Z417">
        <v>165867</v>
      </c>
      <c r="AB417">
        <v>76944</v>
      </c>
      <c r="AC417">
        <v>61076</v>
      </c>
    </row>
    <row r="418" spans="1:29" x14ac:dyDescent="0.3">
      <c r="A418" t="s">
        <v>428</v>
      </c>
      <c r="B418" t="s">
        <v>516</v>
      </c>
      <c r="C418">
        <v>2020</v>
      </c>
      <c r="D418" s="2">
        <v>198934</v>
      </c>
      <c r="E418" s="2">
        <v>53355</v>
      </c>
      <c r="F418" s="2">
        <v>145579</v>
      </c>
      <c r="G418" s="2">
        <v>196838</v>
      </c>
      <c r="H418" s="2">
        <v>45795</v>
      </c>
      <c r="I418" s="2">
        <v>151043</v>
      </c>
      <c r="J418" s="2">
        <v>132743</v>
      </c>
      <c r="K418" s="2">
        <v>13659522</v>
      </c>
      <c r="L418" s="2">
        <v>7109803</v>
      </c>
      <c r="M418" s="2">
        <f t="shared" si="39"/>
        <v>39786.800000000003</v>
      </c>
      <c r="N418" s="2">
        <f t="shared" si="40"/>
        <v>29115.8</v>
      </c>
      <c r="O418" s="7">
        <f t="shared" si="36"/>
        <v>0.67437689876954654</v>
      </c>
      <c r="P418" s="9">
        <f t="shared" si="41"/>
        <v>52.0501595883077</v>
      </c>
      <c r="Q418" s="7">
        <f t="shared" si="37"/>
        <v>0.23265324784848454</v>
      </c>
      <c r="R418" s="9">
        <f t="shared" si="38"/>
        <v>1.0657693585470999E-2</v>
      </c>
      <c r="V418">
        <v>198934</v>
      </c>
      <c r="W418">
        <v>145579</v>
      </c>
      <c r="Y418">
        <v>152486</v>
      </c>
      <c r="Z418">
        <v>75542</v>
      </c>
      <c r="AB418">
        <v>45795</v>
      </c>
      <c r="AC418">
        <v>132743</v>
      </c>
    </row>
    <row r="419" spans="1:29" x14ac:dyDescent="0.3">
      <c r="A419" t="s">
        <v>429</v>
      </c>
      <c r="B419" t="s">
        <v>516</v>
      </c>
      <c r="C419">
        <v>2020</v>
      </c>
      <c r="D419" s="2">
        <v>181265</v>
      </c>
      <c r="E419" s="2">
        <v>27569</v>
      </c>
      <c r="F419" s="2">
        <v>153696</v>
      </c>
      <c r="G419" s="2">
        <v>184886</v>
      </c>
      <c r="H419" s="2">
        <v>77824</v>
      </c>
      <c r="I419" s="2">
        <v>107062</v>
      </c>
      <c r="J419" s="2">
        <v>95078</v>
      </c>
      <c r="K419" s="2">
        <v>19319175</v>
      </c>
      <c r="L419" s="2">
        <v>8547094</v>
      </c>
      <c r="M419" s="2">
        <f t="shared" si="39"/>
        <v>36253</v>
      </c>
      <c r="N419" s="2">
        <f t="shared" si="40"/>
        <v>30739.200000000001</v>
      </c>
      <c r="O419" s="7">
        <f t="shared" si="36"/>
        <v>0.51425202557251493</v>
      </c>
      <c r="P419" s="9">
        <f t="shared" si="41"/>
        <v>44.241506171976809</v>
      </c>
      <c r="Q419" s="7">
        <f t="shared" si="37"/>
        <v>0.4209296539489199</v>
      </c>
      <c r="R419" s="9">
        <f t="shared" si="38"/>
        <v>7.955619222870542E-3</v>
      </c>
      <c r="V419">
        <v>181265</v>
      </c>
      <c r="W419">
        <v>153696</v>
      </c>
      <c r="Y419">
        <v>196838</v>
      </c>
      <c r="Z419">
        <v>151043</v>
      </c>
      <c r="AB419">
        <v>77824</v>
      </c>
      <c r="AC419">
        <v>95078</v>
      </c>
    </row>
    <row r="420" spans="1:29" x14ac:dyDescent="0.3">
      <c r="A420" t="s">
        <v>430</v>
      </c>
      <c r="B420" t="s">
        <v>516</v>
      </c>
      <c r="C420">
        <v>2020</v>
      </c>
      <c r="D420" s="2">
        <v>90197</v>
      </c>
      <c r="E420" s="2">
        <v>12261</v>
      </c>
      <c r="F420" s="2">
        <v>77936</v>
      </c>
      <c r="G420" s="2">
        <v>191841</v>
      </c>
      <c r="H420" s="2">
        <v>41512</v>
      </c>
      <c r="I420" s="2">
        <v>150329</v>
      </c>
      <c r="J420" s="2">
        <v>141613</v>
      </c>
      <c r="K420" s="2">
        <v>15776837</v>
      </c>
      <c r="L420" s="2">
        <v>14510489</v>
      </c>
      <c r="M420" s="2">
        <f t="shared" si="39"/>
        <v>18039.400000000001</v>
      </c>
      <c r="N420" s="2">
        <f t="shared" si="40"/>
        <v>15587.2</v>
      </c>
      <c r="O420" s="7">
        <f t="shared" si="36"/>
        <v>0.73817901282833176</v>
      </c>
      <c r="P420" s="9">
        <f t="shared" si="41"/>
        <v>91.973372102405577</v>
      </c>
      <c r="Q420" s="7">
        <f t="shared" si="37"/>
        <v>0.21638752925599847</v>
      </c>
      <c r="R420" s="9">
        <f t="shared" si="38"/>
        <v>4.939900184048298E-3</v>
      </c>
      <c r="V420">
        <v>90197</v>
      </c>
      <c r="W420">
        <v>77936</v>
      </c>
      <c r="Y420">
        <v>184886</v>
      </c>
      <c r="Z420">
        <v>107062</v>
      </c>
      <c r="AB420">
        <v>41512</v>
      </c>
      <c r="AC420">
        <v>141613</v>
      </c>
    </row>
    <row r="421" spans="1:29" x14ac:dyDescent="0.3">
      <c r="A421" t="s">
        <v>431</v>
      </c>
      <c r="B421" t="s">
        <v>516</v>
      </c>
      <c r="C421">
        <v>2020</v>
      </c>
      <c r="D421" s="2">
        <v>185450</v>
      </c>
      <c r="E421" s="2">
        <v>50583</v>
      </c>
      <c r="F421" s="2">
        <v>134867</v>
      </c>
      <c r="G421" s="2">
        <v>240238</v>
      </c>
      <c r="H421" s="2">
        <v>44033</v>
      </c>
      <c r="I421" s="2">
        <v>196205</v>
      </c>
      <c r="J421" s="2">
        <v>181477</v>
      </c>
      <c r="K421" s="2">
        <v>18838428</v>
      </c>
      <c r="L421" s="2">
        <v>4353324</v>
      </c>
      <c r="M421" s="2">
        <f t="shared" si="39"/>
        <v>37090</v>
      </c>
      <c r="N421" s="2">
        <f t="shared" si="40"/>
        <v>26973.4</v>
      </c>
      <c r="O421" s="7">
        <f t="shared" si="36"/>
        <v>0.7554050566521533</v>
      </c>
      <c r="P421" s="9">
        <f t="shared" si="41"/>
        <v>23.108743468404054</v>
      </c>
      <c r="Q421" s="7">
        <f t="shared" si="37"/>
        <v>0.18328907167059333</v>
      </c>
      <c r="R421" s="9">
        <f t="shared" si="38"/>
        <v>7.1591430028025696E-3</v>
      </c>
      <c r="V421">
        <v>185450</v>
      </c>
      <c r="W421">
        <v>134867</v>
      </c>
      <c r="Y421">
        <v>191841</v>
      </c>
      <c r="Z421">
        <v>150329</v>
      </c>
      <c r="AB421">
        <v>44033</v>
      </c>
      <c r="AC421">
        <v>181477</v>
      </c>
    </row>
    <row r="422" spans="1:29" x14ac:dyDescent="0.3">
      <c r="A422" t="s">
        <v>432</v>
      </c>
      <c r="B422" t="s">
        <v>516</v>
      </c>
      <c r="C422">
        <v>2021</v>
      </c>
      <c r="D422" s="2">
        <v>145074</v>
      </c>
      <c r="E422" s="2">
        <v>15410</v>
      </c>
      <c r="F422" s="2">
        <v>129664</v>
      </c>
      <c r="G422" s="2">
        <v>233039</v>
      </c>
      <c r="H422" s="2">
        <v>71044</v>
      </c>
      <c r="I422" s="2">
        <v>161995</v>
      </c>
      <c r="J422" s="2">
        <v>154187</v>
      </c>
      <c r="K422" s="2">
        <v>9070028</v>
      </c>
      <c r="L422" s="2">
        <v>10951036</v>
      </c>
      <c r="M422" s="2">
        <f t="shared" si="39"/>
        <v>29014.799999999999</v>
      </c>
      <c r="N422" s="2">
        <f t="shared" si="40"/>
        <v>25932.799999999999</v>
      </c>
      <c r="O422" s="7">
        <f t="shared" si="36"/>
        <v>0.66163603517007885</v>
      </c>
      <c r="P422" s="9">
        <f t="shared" si="41"/>
        <v>120.73872318806514</v>
      </c>
      <c r="Q422" s="7">
        <f t="shared" si="37"/>
        <v>0.30485884336956476</v>
      </c>
      <c r="R422" s="9">
        <f t="shared" si="38"/>
        <v>1.4295876484615042E-2</v>
      </c>
      <c r="V422">
        <v>145074</v>
      </c>
      <c r="W422">
        <v>129664</v>
      </c>
      <c r="Y422">
        <v>240238</v>
      </c>
      <c r="Z422">
        <v>196205</v>
      </c>
      <c r="AB422">
        <v>71044</v>
      </c>
      <c r="AC422">
        <v>154187</v>
      </c>
    </row>
    <row r="423" spans="1:29" x14ac:dyDescent="0.3">
      <c r="A423" t="s">
        <v>433</v>
      </c>
      <c r="B423" t="s">
        <v>516</v>
      </c>
      <c r="C423">
        <v>2021</v>
      </c>
      <c r="D423" s="2">
        <v>104245</v>
      </c>
      <c r="E423" s="2">
        <v>53056</v>
      </c>
      <c r="F423" s="2">
        <v>51189</v>
      </c>
      <c r="G423" s="2">
        <v>88898</v>
      </c>
      <c r="H423" s="2">
        <v>73557</v>
      </c>
      <c r="I423" s="2">
        <v>15341</v>
      </c>
      <c r="J423" s="2">
        <v>-4202</v>
      </c>
      <c r="K423" s="2">
        <v>11722090</v>
      </c>
      <c r="L423" s="2">
        <v>3749971</v>
      </c>
      <c r="M423" s="2">
        <f t="shared" si="39"/>
        <v>20849</v>
      </c>
      <c r="N423" s="2">
        <f t="shared" si="40"/>
        <v>10237.799999999999</v>
      </c>
      <c r="O423" s="7">
        <f t="shared" si="36"/>
        <v>-4.7267655065355803E-2</v>
      </c>
      <c r="P423" s="9">
        <f t="shared" si="41"/>
        <v>31.990634775880412</v>
      </c>
      <c r="Q423" s="7">
        <f t="shared" si="37"/>
        <v>0.82743143827757659</v>
      </c>
      <c r="R423" s="9">
        <f t="shared" si="38"/>
        <v>4.3668833800115849E-3</v>
      </c>
      <c r="V423">
        <v>104245</v>
      </c>
      <c r="W423">
        <v>51189</v>
      </c>
      <c r="Y423">
        <v>233039</v>
      </c>
      <c r="Z423">
        <v>161995</v>
      </c>
      <c r="AB423">
        <v>73557</v>
      </c>
      <c r="AC423">
        <v>-4202</v>
      </c>
    </row>
    <row r="424" spans="1:29" x14ac:dyDescent="0.3">
      <c r="A424" t="s">
        <v>434</v>
      </c>
      <c r="B424" t="s">
        <v>516</v>
      </c>
      <c r="C424">
        <v>2021</v>
      </c>
      <c r="D424" s="2">
        <v>146038</v>
      </c>
      <c r="E424" s="2">
        <v>26724</v>
      </c>
      <c r="F424" s="2">
        <v>119314</v>
      </c>
      <c r="G424" s="2">
        <v>143142</v>
      </c>
      <c r="H424" s="2">
        <v>32087</v>
      </c>
      <c r="I424" s="2">
        <v>111055</v>
      </c>
      <c r="J424" s="2">
        <v>96450</v>
      </c>
      <c r="K424" s="2">
        <v>14730665</v>
      </c>
      <c r="L424" s="2">
        <v>5233706</v>
      </c>
      <c r="M424" s="2">
        <f t="shared" si="39"/>
        <v>29207.599999999999</v>
      </c>
      <c r="N424" s="2">
        <f t="shared" si="40"/>
        <v>23862.799999999999</v>
      </c>
      <c r="O424" s="7">
        <f t="shared" si="36"/>
        <v>0.67380642997862261</v>
      </c>
      <c r="P424" s="9">
        <f t="shared" si="41"/>
        <v>35.529326069121794</v>
      </c>
      <c r="Q424" s="7">
        <f t="shared" si="37"/>
        <v>0.22416202093026505</v>
      </c>
      <c r="R424" s="9">
        <f t="shared" si="38"/>
        <v>8.0997022198251063E-3</v>
      </c>
      <c r="V424">
        <v>146038</v>
      </c>
      <c r="W424">
        <v>119314</v>
      </c>
      <c r="Y424">
        <v>88898</v>
      </c>
      <c r="Z424">
        <v>15341</v>
      </c>
      <c r="AB424">
        <v>32087</v>
      </c>
      <c r="AC424">
        <v>96450</v>
      </c>
    </row>
    <row r="425" spans="1:29" x14ac:dyDescent="0.3">
      <c r="A425" t="s">
        <v>435</v>
      </c>
      <c r="B425" t="s">
        <v>516</v>
      </c>
      <c r="C425">
        <v>2021</v>
      </c>
      <c r="D425" s="2">
        <v>115333</v>
      </c>
      <c r="E425" s="2">
        <v>60952</v>
      </c>
      <c r="F425" s="2">
        <v>54381</v>
      </c>
      <c r="G425" s="2">
        <v>79844</v>
      </c>
      <c r="H425" s="2">
        <v>85448</v>
      </c>
      <c r="I425" s="2">
        <v>-5604</v>
      </c>
      <c r="J425" s="2">
        <v>-12252</v>
      </c>
      <c r="K425" s="2">
        <v>12732752</v>
      </c>
      <c r="L425" s="2">
        <v>5392919</v>
      </c>
      <c r="M425" s="2">
        <f t="shared" si="39"/>
        <v>23066.6</v>
      </c>
      <c r="N425" s="2">
        <f t="shared" si="40"/>
        <v>10876.2</v>
      </c>
      <c r="O425" s="7">
        <f t="shared" si="36"/>
        <v>-0.15344922599068184</v>
      </c>
      <c r="P425" s="9">
        <f t="shared" si="41"/>
        <v>42.354700696283096</v>
      </c>
      <c r="Q425" s="7">
        <f t="shared" si="37"/>
        <v>1.0701868643855519</v>
      </c>
      <c r="R425" s="9">
        <f t="shared" si="38"/>
        <v>4.2709541503674932E-3</v>
      </c>
      <c r="V425">
        <v>115333</v>
      </c>
      <c r="W425">
        <v>54381</v>
      </c>
      <c r="Y425">
        <v>143142</v>
      </c>
      <c r="Z425">
        <v>111055</v>
      </c>
      <c r="AB425">
        <v>85448</v>
      </c>
      <c r="AC425">
        <v>-12252</v>
      </c>
    </row>
    <row r="426" spans="1:29" x14ac:dyDescent="0.3">
      <c r="A426" t="s">
        <v>436</v>
      </c>
      <c r="B426" t="s">
        <v>516</v>
      </c>
      <c r="C426">
        <v>2021</v>
      </c>
      <c r="D426" s="2">
        <v>85634</v>
      </c>
      <c r="E426" s="2">
        <v>54602</v>
      </c>
      <c r="F426" s="2">
        <v>31032</v>
      </c>
      <c r="G426" s="2">
        <v>100366</v>
      </c>
      <c r="H426" s="2">
        <v>83648</v>
      </c>
      <c r="I426" s="2">
        <v>16718</v>
      </c>
      <c r="J426" s="2">
        <v>10226</v>
      </c>
      <c r="K426" s="2">
        <v>18056778</v>
      </c>
      <c r="L426" s="2">
        <v>11095213</v>
      </c>
      <c r="M426" s="2">
        <f t="shared" si="39"/>
        <v>17126.8</v>
      </c>
      <c r="N426" s="2">
        <f t="shared" si="40"/>
        <v>6206.4</v>
      </c>
      <c r="O426" s="7">
        <f t="shared" si="36"/>
        <v>0.10188709323874619</v>
      </c>
      <c r="P426" s="9">
        <f t="shared" si="41"/>
        <v>61.446250266797321</v>
      </c>
      <c r="Q426" s="7">
        <f t="shared" si="37"/>
        <v>0.83342964749018589</v>
      </c>
      <c r="R426" s="9">
        <f t="shared" si="38"/>
        <v>1.7185790288832259E-3</v>
      </c>
      <c r="V426">
        <v>85634</v>
      </c>
      <c r="W426">
        <v>31032</v>
      </c>
      <c r="Y426">
        <v>79844</v>
      </c>
      <c r="Z426">
        <v>-5604</v>
      </c>
      <c r="AB426">
        <v>83648</v>
      </c>
      <c r="AC426">
        <v>10226</v>
      </c>
    </row>
    <row r="427" spans="1:29" x14ac:dyDescent="0.3">
      <c r="A427" t="s">
        <v>437</v>
      </c>
      <c r="B427" t="s">
        <v>516</v>
      </c>
      <c r="C427">
        <v>2021</v>
      </c>
      <c r="D427" s="2">
        <v>131554</v>
      </c>
      <c r="E427" s="2">
        <v>31386</v>
      </c>
      <c r="F427" s="2">
        <v>100168</v>
      </c>
      <c r="G427" s="2">
        <v>203444</v>
      </c>
      <c r="H427" s="2">
        <v>74518</v>
      </c>
      <c r="I427" s="2">
        <v>128926</v>
      </c>
      <c r="J427" s="2">
        <v>115495</v>
      </c>
      <c r="K427" s="2">
        <v>19163986</v>
      </c>
      <c r="L427" s="2">
        <v>6714379</v>
      </c>
      <c r="M427" s="2">
        <f t="shared" si="39"/>
        <v>26310.799999999999</v>
      </c>
      <c r="N427" s="2">
        <f t="shared" si="40"/>
        <v>20033.599999999999</v>
      </c>
      <c r="O427" s="7">
        <f t="shared" si="36"/>
        <v>0.56769921944122215</v>
      </c>
      <c r="P427" s="9">
        <f t="shared" si="41"/>
        <v>35.036442836057176</v>
      </c>
      <c r="Q427" s="7">
        <f t="shared" si="37"/>
        <v>0.36628261339729851</v>
      </c>
      <c r="R427" s="9">
        <f t="shared" si="38"/>
        <v>5.2268875587782211E-3</v>
      </c>
      <c r="V427">
        <v>131554</v>
      </c>
      <c r="W427">
        <v>100168</v>
      </c>
      <c r="Y427">
        <v>100366</v>
      </c>
      <c r="Z427">
        <v>16718</v>
      </c>
      <c r="AB427">
        <v>74518</v>
      </c>
      <c r="AC427">
        <v>115495</v>
      </c>
    </row>
    <row r="428" spans="1:29" x14ac:dyDescent="0.3">
      <c r="A428" t="s">
        <v>438</v>
      </c>
      <c r="B428" t="s">
        <v>516</v>
      </c>
      <c r="C428">
        <v>2021</v>
      </c>
      <c r="D428" s="2">
        <v>128279</v>
      </c>
      <c r="E428" s="2">
        <v>70348</v>
      </c>
      <c r="F428" s="2">
        <v>57931</v>
      </c>
      <c r="G428" s="2">
        <v>133215</v>
      </c>
      <c r="H428" s="2">
        <v>87124</v>
      </c>
      <c r="I428" s="2">
        <v>46091</v>
      </c>
      <c r="J428" s="2">
        <v>40780</v>
      </c>
      <c r="K428" s="2">
        <v>19937388</v>
      </c>
      <c r="L428" s="2">
        <v>11312934</v>
      </c>
      <c r="M428" s="2">
        <f t="shared" si="39"/>
        <v>25655.8</v>
      </c>
      <c r="N428" s="2">
        <f t="shared" si="40"/>
        <v>11586.2</v>
      </c>
      <c r="O428" s="7">
        <f t="shared" si="36"/>
        <v>0.30612168299365689</v>
      </c>
      <c r="P428" s="9">
        <f t="shared" si="41"/>
        <v>56.742307467758565</v>
      </c>
      <c r="Q428" s="7">
        <f t="shared" si="37"/>
        <v>0.65401043426040606</v>
      </c>
      <c r="R428" s="9">
        <f t="shared" si="38"/>
        <v>2.9056464166720333E-3</v>
      </c>
      <c r="V428">
        <v>128279</v>
      </c>
      <c r="W428">
        <v>57931</v>
      </c>
      <c r="Y428">
        <v>203444</v>
      </c>
      <c r="Z428">
        <v>128926</v>
      </c>
      <c r="AB428">
        <v>87124</v>
      </c>
      <c r="AC428">
        <v>40780</v>
      </c>
    </row>
    <row r="429" spans="1:29" x14ac:dyDescent="0.3">
      <c r="A429" t="s">
        <v>439</v>
      </c>
      <c r="B429" t="s">
        <v>516</v>
      </c>
      <c r="C429">
        <v>2021</v>
      </c>
      <c r="D429" s="2">
        <v>184393</v>
      </c>
      <c r="E429" s="2">
        <v>47383</v>
      </c>
      <c r="F429" s="2">
        <v>137010</v>
      </c>
      <c r="G429" s="2">
        <v>235692</v>
      </c>
      <c r="H429" s="2">
        <v>94190</v>
      </c>
      <c r="I429" s="2">
        <v>141502</v>
      </c>
      <c r="J429" s="2">
        <v>136450</v>
      </c>
      <c r="K429" s="2">
        <v>11281646</v>
      </c>
      <c r="L429" s="2">
        <v>6998422</v>
      </c>
      <c r="M429" s="2">
        <f t="shared" si="39"/>
        <v>36878.6</v>
      </c>
      <c r="N429" s="2">
        <f t="shared" si="40"/>
        <v>27402</v>
      </c>
      <c r="O429" s="7">
        <f t="shared" si="36"/>
        <v>0.57893352341191051</v>
      </c>
      <c r="P429" s="9">
        <f t="shared" si="41"/>
        <v>62.033696146821129</v>
      </c>
      <c r="Q429" s="7">
        <f t="shared" si="37"/>
        <v>0.39963172275681824</v>
      </c>
      <c r="R429" s="9">
        <f t="shared" si="38"/>
        <v>1.2144504445539241E-2</v>
      </c>
      <c r="V429">
        <v>184393</v>
      </c>
      <c r="W429">
        <v>137010</v>
      </c>
      <c r="Y429">
        <v>133215</v>
      </c>
      <c r="Z429">
        <v>46091</v>
      </c>
      <c r="AB429">
        <v>94190</v>
      </c>
      <c r="AC429">
        <v>136450</v>
      </c>
    </row>
    <row r="430" spans="1:29" x14ac:dyDescent="0.3">
      <c r="A430" t="s">
        <v>440</v>
      </c>
      <c r="B430" t="s">
        <v>516</v>
      </c>
      <c r="C430">
        <v>2021</v>
      </c>
      <c r="D430" s="2">
        <v>184832</v>
      </c>
      <c r="E430" s="2">
        <v>32190</v>
      </c>
      <c r="F430" s="2">
        <v>152642</v>
      </c>
      <c r="G430" s="2">
        <v>240053</v>
      </c>
      <c r="H430" s="2">
        <v>38377</v>
      </c>
      <c r="I430" s="2">
        <v>201676</v>
      </c>
      <c r="J430" s="2">
        <v>185707</v>
      </c>
      <c r="K430" s="2">
        <v>10181377</v>
      </c>
      <c r="L430" s="2">
        <v>8281091</v>
      </c>
      <c r="M430" s="2">
        <f t="shared" si="39"/>
        <v>36966.400000000001</v>
      </c>
      <c r="N430" s="2">
        <f t="shared" si="40"/>
        <v>30528.400000000001</v>
      </c>
      <c r="O430" s="7">
        <f t="shared" si="36"/>
        <v>0.77360832816086444</v>
      </c>
      <c r="P430" s="9">
        <f t="shared" si="41"/>
        <v>81.33566805354522</v>
      </c>
      <c r="Q430" s="7">
        <f t="shared" si="37"/>
        <v>0.15986886229291031</v>
      </c>
      <c r="R430" s="9">
        <f t="shared" si="38"/>
        <v>1.4992274620613696E-2</v>
      </c>
      <c r="V430">
        <v>184832</v>
      </c>
      <c r="W430">
        <v>152642</v>
      </c>
      <c r="Y430">
        <v>235692</v>
      </c>
      <c r="Z430">
        <v>141502</v>
      </c>
      <c r="AB430">
        <v>38377</v>
      </c>
      <c r="AC430">
        <v>185707</v>
      </c>
    </row>
    <row r="431" spans="1:29" x14ac:dyDescent="0.3">
      <c r="A431" t="s">
        <v>441</v>
      </c>
      <c r="B431" t="s">
        <v>516</v>
      </c>
      <c r="C431">
        <v>2021</v>
      </c>
      <c r="D431" s="2">
        <v>53744</v>
      </c>
      <c r="E431" s="2">
        <v>34995</v>
      </c>
      <c r="F431" s="2">
        <v>18749</v>
      </c>
      <c r="G431" s="2">
        <v>55726</v>
      </c>
      <c r="H431" s="2">
        <v>49542</v>
      </c>
      <c r="I431" s="2">
        <v>6184</v>
      </c>
      <c r="J431" s="2">
        <v>-6467</v>
      </c>
      <c r="K431" s="2">
        <v>16633575</v>
      </c>
      <c r="L431" s="2">
        <v>8059667</v>
      </c>
      <c r="M431" s="2">
        <f t="shared" si="39"/>
        <v>10748.8</v>
      </c>
      <c r="N431" s="2">
        <f t="shared" si="40"/>
        <v>3749.8</v>
      </c>
      <c r="O431" s="7">
        <f t="shared" si="36"/>
        <v>-0.11604995872662671</v>
      </c>
      <c r="P431" s="9">
        <f t="shared" si="41"/>
        <v>48.45420782964576</v>
      </c>
      <c r="Q431" s="7">
        <f t="shared" si="37"/>
        <v>0.88902846068262575</v>
      </c>
      <c r="R431" s="9">
        <f t="shared" si="38"/>
        <v>1.1271780119427122E-3</v>
      </c>
      <c r="V431">
        <v>53744</v>
      </c>
      <c r="W431">
        <v>18749</v>
      </c>
      <c r="Y431">
        <v>240053</v>
      </c>
      <c r="Z431">
        <v>201676</v>
      </c>
      <c r="AB431">
        <v>49542</v>
      </c>
      <c r="AC431">
        <v>-6467</v>
      </c>
    </row>
    <row r="432" spans="1:29" x14ac:dyDescent="0.3">
      <c r="A432" t="s">
        <v>442</v>
      </c>
      <c r="B432" t="s">
        <v>516</v>
      </c>
      <c r="C432">
        <v>2021</v>
      </c>
      <c r="D432" s="2">
        <v>152112</v>
      </c>
      <c r="E432" s="2">
        <v>26715</v>
      </c>
      <c r="F432" s="2">
        <v>125397</v>
      </c>
      <c r="G432" s="2">
        <v>189806</v>
      </c>
      <c r="H432" s="2">
        <v>39306</v>
      </c>
      <c r="I432" s="2">
        <v>150500</v>
      </c>
      <c r="J432" s="2">
        <v>134124</v>
      </c>
      <c r="K432" s="2">
        <v>6372070</v>
      </c>
      <c r="L432" s="2">
        <v>13819329</v>
      </c>
      <c r="M432" s="2">
        <f t="shared" si="39"/>
        <v>30422.400000000001</v>
      </c>
      <c r="N432" s="2">
        <f t="shared" si="40"/>
        <v>25079.4</v>
      </c>
      <c r="O432" s="7">
        <f t="shared" si="36"/>
        <v>0.70663730335184349</v>
      </c>
      <c r="P432" s="9">
        <f t="shared" si="41"/>
        <v>216.87346498076764</v>
      </c>
      <c r="Q432" s="7">
        <f t="shared" si="37"/>
        <v>0.20708512902647966</v>
      </c>
      <c r="R432" s="9">
        <f t="shared" si="38"/>
        <v>1.9679162344418688E-2</v>
      </c>
      <c r="V432">
        <v>152112</v>
      </c>
      <c r="W432">
        <v>125397</v>
      </c>
      <c r="Y432">
        <v>55726</v>
      </c>
      <c r="Z432">
        <v>6184</v>
      </c>
      <c r="AB432">
        <v>39306</v>
      </c>
      <c r="AC432">
        <v>134124</v>
      </c>
    </row>
    <row r="433" spans="1:29" x14ac:dyDescent="0.3">
      <c r="A433" t="s">
        <v>443</v>
      </c>
      <c r="B433" t="s">
        <v>516</v>
      </c>
      <c r="C433">
        <v>2021</v>
      </c>
      <c r="D433" s="2">
        <v>136120</v>
      </c>
      <c r="E433" s="2">
        <v>61649</v>
      </c>
      <c r="F433" s="2">
        <v>74471</v>
      </c>
      <c r="G433" s="2">
        <v>129081</v>
      </c>
      <c r="H433" s="2">
        <v>25058</v>
      </c>
      <c r="I433" s="2">
        <v>104023</v>
      </c>
      <c r="J433" s="2">
        <v>92922</v>
      </c>
      <c r="K433" s="2">
        <v>19102737</v>
      </c>
      <c r="L433" s="2">
        <v>12245234</v>
      </c>
      <c r="M433" s="2">
        <f t="shared" si="39"/>
        <v>27224</v>
      </c>
      <c r="N433" s="2">
        <f t="shared" si="40"/>
        <v>14894.2</v>
      </c>
      <c r="O433" s="7">
        <f t="shared" si="36"/>
        <v>0.71987356775977873</v>
      </c>
      <c r="P433" s="9">
        <f t="shared" si="41"/>
        <v>64.101987060807048</v>
      </c>
      <c r="Q433" s="7">
        <f t="shared" si="37"/>
        <v>0.19412616883972081</v>
      </c>
      <c r="R433" s="9">
        <f t="shared" si="38"/>
        <v>3.8984465943283416E-3</v>
      </c>
      <c r="V433">
        <v>136120</v>
      </c>
      <c r="W433">
        <v>74471</v>
      </c>
      <c r="Y433">
        <v>189806</v>
      </c>
      <c r="Z433">
        <v>150500</v>
      </c>
      <c r="AB433">
        <v>25058</v>
      </c>
      <c r="AC433">
        <v>92922</v>
      </c>
    </row>
    <row r="434" spans="1:29" x14ac:dyDescent="0.3">
      <c r="A434" t="s">
        <v>444</v>
      </c>
      <c r="B434" t="s">
        <v>516</v>
      </c>
      <c r="C434">
        <v>2021</v>
      </c>
      <c r="D434" s="2">
        <v>126917</v>
      </c>
      <c r="E434" s="2">
        <v>74200</v>
      </c>
      <c r="F434" s="2">
        <v>52717</v>
      </c>
      <c r="G434" s="2">
        <v>119336</v>
      </c>
      <c r="H434" s="2">
        <v>32154</v>
      </c>
      <c r="I434" s="2">
        <v>87182</v>
      </c>
      <c r="J434" s="2">
        <v>73405</v>
      </c>
      <c r="K434" s="2">
        <v>16372124</v>
      </c>
      <c r="L434" s="2">
        <v>3161445</v>
      </c>
      <c r="M434" s="2">
        <f t="shared" si="39"/>
        <v>25383.4</v>
      </c>
      <c r="N434" s="2">
        <f t="shared" si="40"/>
        <v>10543.4</v>
      </c>
      <c r="O434" s="7">
        <f t="shared" si="36"/>
        <v>0.61511195280552389</v>
      </c>
      <c r="P434" s="9">
        <f t="shared" si="41"/>
        <v>19.309925822697167</v>
      </c>
      <c r="Q434" s="7">
        <f t="shared" si="37"/>
        <v>0.26944090634846146</v>
      </c>
      <c r="R434" s="9">
        <f t="shared" si="38"/>
        <v>3.2199243054841266E-3</v>
      </c>
      <c r="V434">
        <v>126917</v>
      </c>
      <c r="W434">
        <v>52717</v>
      </c>
      <c r="Y434">
        <v>129081</v>
      </c>
      <c r="Z434">
        <v>104023</v>
      </c>
      <c r="AB434">
        <v>32154</v>
      </c>
      <c r="AC434">
        <v>73405</v>
      </c>
    </row>
    <row r="435" spans="1:29" x14ac:dyDescent="0.3">
      <c r="A435" t="s">
        <v>445</v>
      </c>
      <c r="B435" t="s">
        <v>516</v>
      </c>
      <c r="C435">
        <v>2021</v>
      </c>
      <c r="D435" s="2">
        <v>187103</v>
      </c>
      <c r="E435" s="2">
        <v>32785</v>
      </c>
      <c r="F435" s="2">
        <v>154318</v>
      </c>
      <c r="G435" s="2">
        <v>253246</v>
      </c>
      <c r="H435" s="2">
        <v>43669</v>
      </c>
      <c r="I435" s="2">
        <v>209577</v>
      </c>
      <c r="J435" s="2">
        <v>205295</v>
      </c>
      <c r="K435" s="2">
        <v>11981440</v>
      </c>
      <c r="L435" s="2">
        <v>13140982</v>
      </c>
      <c r="M435" s="2">
        <f t="shared" si="39"/>
        <v>37420.6</v>
      </c>
      <c r="N435" s="2">
        <f t="shared" si="40"/>
        <v>30863.599999999999</v>
      </c>
      <c r="O435" s="7">
        <f t="shared" si="36"/>
        <v>0.81065446245942685</v>
      </c>
      <c r="P435" s="9">
        <f t="shared" si="41"/>
        <v>109.677818359062</v>
      </c>
      <c r="Q435" s="7">
        <f t="shared" si="37"/>
        <v>0.17243707699233157</v>
      </c>
      <c r="R435" s="9">
        <f t="shared" si="38"/>
        <v>1.2879754019550238E-2</v>
      </c>
      <c r="V435">
        <v>187103</v>
      </c>
      <c r="W435">
        <v>154318</v>
      </c>
      <c r="Y435">
        <v>119336</v>
      </c>
      <c r="Z435">
        <v>87182</v>
      </c>
      <c r="AB435">
        <v>43669</v>
      </c>
      <c r="AC435">
        <v>205295</v>
      </c>
    </row>
    <row r="436" spans="1:29" x14ac:dyDescent="0.3">
      <c r="A436" t="s">
        <v>446</v>
      </c>
      <c r="B436" t="s">
        <v>516</v>
      </c>
      <c r="C436">
        <v>2021</v>
      </c>
      <c r="D436" s="2">
        <v>117534</v>
      </c>
      <c r="E436" s="2">
        <v>41705</v>
      </c>
      <c r="F436" s="2">
        <v>75829</v>
      </c>
      <c r="G436" s="2">
        <v>134073</v>
      </c>
      <c r="H436" s="2">
        <v>89964</v>
      </c>
      <c r="I436" s="2">
        <v>44109</v>
      </c>
      <c r="J436" s="2">
        <v>37440</v>
      </c>
      <c r="K436" s="2">
        <v>5208944</v>
      </c>
      <c r="L436" s="2">
        <v>8186686</v>
      </c>
      <c r="M436" s="2">
        <f t="shared" si="39"/>
        <v>23506.799999999999</v>
      </c>
      <c r="N436" s="2">
        <f t="shared" si="40"/>
        <v>15165.8</v>
      </c>
      <c r="O436" s="7">
        <f t="shared" si="36"/>
        <v>0.2792508558770222</v>
      </c>
      <c r="P436" s="9">
        <f t="shared" si="41"/>
        <v>157.16594380742046</v>
      </c>
      <c r="Q436" s="7">
        <f t="shared" si="37"/>
        <v>0.67100758541988315</v>
      </c>
      <c r="R436" s="9">
        <f t="shared" si="38"/>
        <v>1.4557461166793116E-2</v>
      </c>
      <c r="V436">
        <v>117534</v>
      </c>
      <c r="W436">
        <v>75829</v>
      </c>
      <c r="Y436">
        <v>253246</v>
      </c>
      <c r="Z436">
        <v>209577</v>
      </c>
      <c r="AB436">
        <v>89964</v>
      </c>
      <c r="AC436">
        <v>37440</v>
      </c>
    </row>
    <row r="437" spans="1:29" x14ac:dyDescent="0.3">
      <c r="A437" t="s">
        <v>447</v>
      </c>
      <c r="B437" t="s">
        <v>516</v>
      </c>
      <c r="C437">
        <v>2021</v>
      </c>
      <c r="D437" s="2">
        <v>169006</v>
      </c>
      <c r="E437" s="2">
        <v>60583</v>
      </c>
      <c r="F437" s="2">
        <v>108423</v>
      </c>
      <c r="G437" s="2">
        <v>166815</v>
      </c>
      <c r="H437" s="2">
        <v>22461</v>
      </c>
      <c r="I437" s="2">
        <v>144354</v>
      </c>
      <c r="J437" s="2">
        <v>140535</v>
      </c>
      <c r="K437" s="2">
        <v>7894100</v>
      </c>
      <c r="L437" s="2">
        <v>7666805</v>
      </c>
      <c r="M437" s="2">
        <f t="shared" si="39"/>
        <v>33801.199999999997</v>
      </c>
      <c r="N437" s="2">
        <f t="shared" si="40"/>
        <v>21684.6</v>
      </c>
      <c r="O437" s="7">
        <f t="shared" si="36"/>
        <v>0.84246021041273267</v>
      </c>
      <c r="P437" s="9">
        <f t="shared" si="41"/>
        <v>97.120697736284058</v>
      </c>
      <c r="Q437" s="7">
        <f t="shared" si="37"/>
        <v>0.13464616491322723</v>
      </c>
      <c r="R437" s="9">
        <f t="shared" si="38"/>
        <v>1.373468793149314E-2</v>
      </c>
      <c r="V437">
        <v>169006</v>
      </c>
      <c r="W437">
        <v>108423</v>
      </c>
      <c r="Y437">
        <v>134073</v>
      </c>
      <c r="Z437">
        <v>44109</v>
      </c>
      <c r="AB437">
        <v>22461</v>
      </c>
      <c r="AC437">
        <v>140535</v>
      </c>
    </row>
    <row r="438" spans="1:29" x14ac:dyDescent="0.3">
      <c r="A438" t="s">
        <v>448</v>
      </c>
      <c r="B438" t="s">
        <v>516</v>
      </c>
      <c r="C438">
        <v>2021</v>
      </c>
      <c r="D438" s="2">
        <v>198586</v>
      </c>
      <c r="E438" s="2">
        <v>46268</v>
      </c>
      <c r="F438" s="2">
        <v>152318</v>
      </c>
      <c r="G438" s="2">
        <v>262804</v>
      </c>
      <c r="H438" s="2">
        <v>51788</v>
      </c>
      <c r="I438" s="2">
        <v>211016</v>
      </c>
      <c r="J438" s="2">
        <v>198803</v>
      </c>
      <c r="K438" s="2">
        <v>6897501</v>
      </c>
      <c r="L438" s="2">
        <v>7754619</v>
      </c>
      <c r="M438" s="2">
        <f t="shared" si="39"/>
        <v>39717.199999999997</v>
      </c>
      <c r="N438" s="2">
        <f t="shared" si="40"/>
        <v>30463.599999999999</v>
      </c>
      <c r="O438" s="7">
        <f t="shared" si="36"/>
        <v>0.75646869910655845</v>
      </c>
      <c r="P438" s="9">
        <f t="shared" si="41"/>
        <v>112.42650055433121</v>
      </c>
      <c r="Q438" s="7">
        <f t="shared" si="37"/>
        <v>0.19705940548850093</v>
      </c>
      <c r="R438" s="9">
        <f t="shared" si="38"/>
        <v>2.2083070375778127E-2</v>
      </c>
      <c r="V438">
        <v>198586</v>
      </c>
      <c r="W438">
        <v>152318</v>
      </c>
      <c r="Y438">
        <v>166815</v>
      </c>
      <c r="Z438">
        <v>144354</v>
      </c>
      <c r="AB438">
        <v>51788</v>
      </c>
      <c r="AC438">
        <v>198803</v>
      </c>
    </row>
    <row r="439" spans="1:29" x14ac:dyDescent="0.3">
      <c r="A439" t="s">
        <v>449</v>
      </c>
      <c r="B439" t="s">
        <v>516</v>
      </c>
      <c r="C439">
        <v>2021</v>
      </c>
      <c r="D439" s="2">
        <v>143547</v>
      </c>
      <c r="E439" s="2">
        <v>52849</v>
      </c>
      <c r="F439" s="2">
        <v>90698</v>
      </c>
      <c r="G439" s="2">
        <v>128556</v>
      </c>
      <c r="H439" s="2">
        <v>99162</v>
      </c>
      <c r="I439" s="2">
        <v>29394</v>
      </c>
      <c r="J439" s="2">
        <v>13927</v>
      </c>
      <c r="K439" s="2">
        <v>9902059</v>
      </c>
      <c r="L439" s="2">
        <v>14049806</v>
      </c>
      <c r="M439" s="2">
        <f t="shared" si="39"/>
        <v>28709.4</v>
      </c>
      <c r="N439" s="2">
        <f t="shared" si="40"/>
        <v>18139.599999999999</v>
      </c>
      <c r="O439" s="7">
        <f t="shared" si="36"/>
        <v>0.10833411120445564</v>
      </c>
      <c r="P439" s="9">
        <f t="shared" si="41"/>
        <v>141.88772254336195</v>
      </c>
      <c r="Q439" s="7">
        <f t="shared" si="37"/>
        <v>0.77135256230747695</v>
      </c>
      <c r="R439" s="9">
        <f t="shared" si="38"/>
        <v>9.159509148551832E-3</v>
      </c>
      <c r="V439">
        <v>143547</v>
      </c>
      <c r="W439">
        <v>90698</v>
      </c>
      <c r="Y439">
        <v>262804</v>
      </c>
      <c r="Z439">
        <v>211016</v>
      </c>
      <c r="AB439">
        <v>99162</v>
      </c>
      <c r="AC439">
        <v>13927</v>
      </c>
    </row>
    <row r="440" spans="1:29" x14ac:dyDescent="0.3">
      <c r="A440" t="s">
        <v>450</v>
      </c>
      <c r="B440" t="s">
        <v>516</v>
      </c>
      <c r="C440">
        <v>2021</v>
      </c>
      <c r="D440" s="2">
        <v>104312</v>
      </c>
      <c r="E440" s="2">
        <v>78670</v>
      </c>
      <c r="F440" s="2">
        <v>25642</v>
      </c>
      <c r="G440" s="2">
        <v>127921</v>
      </c>
      <c r="H440" s="2">
        <v>30434</v>
      </c>
      <c r="I440" s="2">
        <v>97487</v>
      </c>
      <c r="J440" s="2">
        <v>80480</v>
      </c>
      <c r="K440" s="2">
        <v>5337913</v>
      </c>
      <c r="L440" s="2">
        <v>3328821</v>
      </c>
      <c r="M440" s="2">
        <f t="shared" si="39"/>
        <v>20862.400000000001</v>
      </c>
      <c r="N440" s="2">
        <f t="shared" si="40"/>
        <v>5128.3999999999996</v>
      </c>
      <c r="O440" s="7">
        <f t="shared" si="36"/>
        <v>0.62913829629224283</v>
      </c>
      <c r="P440" s="9">
        <f t="shared" si="41"/>
        <v>62.361844413724988</v>
      </c>
      <c r="Q440" s="7">
        <f t="shared" si="37"/>
        <v>0.23791246159739213</v>
      </c>
      <c r="R440" s="9">
        <f t="shared" si="38"/>
        <v>4.8037500798533061E-3</v>
      </c>
      <c r="V440">
        <v>104312</v>
      </c>
      <c r="W440">
        <v>25642</v>
      </c>
      <c r="Y440">
        <v>128556</v>
      </c>
      <c r="Z440">
        <v>29394</v>
      </c>
      <c r="AB440">
        <v>30434</v>
      </c>
      <c r="AC440">
        <v>80480</v>
      </c>
    </row>
    <row r="441" spans="1:29" x14ac:dyDescent="0.3">
      <c r="A441" t="s">
        <v>451</v>
      </c>
      <c r="B441" t="s">
        <v>516</v>
      </c>
      <c r="C441">
        <v>2021</v>
      </c>
      <c r="D441" s="2">
        <v>133555</v>
      </c>
      <c r="E441" s="2">
        <v>55734</v>
      </c>
      <c r="F441" s="2">
        <v>77821</v>
      </c>
      <c r="G441" s="2">
        <v>186324</v>
      </c>
      <c r="H441" s="2">
        <v>55603</v>
      </c>
      <c r="I441" s="2">
        <v>130721</v>
      </c>
      <c r="J441" s="2">
        <v>117549</v>
      </c>
      <c r="K441" s="2">
        <v>10193734</v>
      </c>
      <c r="L441" s="2">
        <v>11457411</v>
      </c>
      <c r="M441" s="2">
        <f t="shared" si="39"/>
        <v>26711</v>
      </c>
      <c r="N441" s="2">
        <f t="shared" si="40"/>
        <v>15564.2</v>
      </c>
      <c r="O441" s="7">
        <f t="shared" si="36"/>
        <v>0.63088491015650161</v>
      </c>
      <c r="P441" s="9">
        <f t="shared" si="41"/>
        <v>112.39660560104865</v>
      </c>
      <c r="Q441" s="7">
        <f t="shared" si="37"/>
        <v>0.29842103003370474</v>
      </c>
      <c r="R441" s="9">
        <f t="shared" si="38"/>
        <v>7.6341995975174552E-3</v>
      </c>
      <c r="V441">
        <v>133555</v>
      </c>
      <c r="W441">
        <v>77821</v>
      </c>
      <c r="Y441">
        <v>127921</v>
      </c>
      <c r="Z441">
        <v>97487</v>
      </c>
      <c r="AB441">
        <v>55603</v>
      </c>
      <c r="AC441">
        <v>117549</v>
      </c>
    </row>
    <row r="442" spans="1:29" x14ac:dyDescent="0.3">
      <c r="A442" t="s">
        <v>452</v>
      </c>
      <c r="B442" t="s">
        <v>516</v>
      </c>
      <c r="C442">
        <v>2022</v>
      </c>
      <c r="D442" s="2">
        <v>141703</v>
      </c>
      <c r="E442" s="2">
        <v>31312</v>
      </c>
      <c r="F442" s="2">
        <v>110391</v>
      </c>
      <c r="G442" s="2">
        <v>223767</v>
      </c>
      <c r="H442" s="2">
        <v>99526</v>
      </c>
      <c r="I442" s="2">
        <v>124241</v>
      </c>
      <c r="J442" s="2">
        <v>110830</v>
      </c>
      <c r="K442" s="2">
        <v>13634012</v>
      </c>
      <c r="L442" s="2">
        <v>9933705</v>
      </c>
      <c r="M442" s="2">
        <f t="shared" si="39"/>
        <v>28340.6</v>
      </c>
      <c r="N442" s="2">
        <f t="shared" si="40"/>
        <v>22078.2</v>
      </c>
      <c r="O442" s="7">
        <f t="shared" si="36"/>
        <v>0.49529197781621059</v>
      </c>
      <c r="P442" s="9">
        <f t="shared" si="41"/>
        <v>72.859734904150002</v>
      </c>
      <c r="Q442" s="7">
        <f t="shared" si="37"/>
        <v>0.44477514557553172</v>
      </c>
      <c r="R442" s="9">
        <f t="shared" si="38"/>
        <v>8.096736309165636E-3</v>
      </c>
      <c r="V442">
        <v>141703</v>
      </c>
      <c r="W442">
        <v>110391</v>
      </c>
      <c r="Y442">
        <v>186324</v>
      </c>
      <c r="Z442">
        <v>130721</v>
      </c>
      <c r="AB442">
        <v>99526</v>
      </c>
      <c r="AC442">
        <v>110830</v>
      </c>
    </row>
    <row r="443" spans="1:29" x14ac:dyDescent="0.3">
      <c r="A443" t="s">
        <v>453</v>
      </c>
      <c r="B443" t="s">
        <v>516</v>
      </c>
      <c r="C443">
        <v>2022</v>
      </c>
      <c r="D443" s="2">
        <v>90379</v>
      </c>
      <c r="E443" s="2">
        <v>27297</v>
      </c>
      <c r="F443" s="2">
        <v>63082</v>
      </c>
      <c r="G443" s="2">
        <v>85093</v>
      </c>
      <c r="H443" s="2">
        <v>59014</v>
      </c>
      <c r="I443" s="2">
        <v>26079</v>
      </c>
      <c r="J443" s="2">
        <v>10289</v>
      </c>
      <c r="K443" s="2">
        <v>16415002</v>
      </c>
      <c r="L443" s="2">
        <v>12615754</v>
      </c>
      <c r="M443" s="2">
        <f t="shared" si="39"/>
        <v>18075.8</v>
      </c>
      <c r="N443" s="2">
        <f t="shared" si="40"/>
        <v>12616.4</v>
      </c>
      <c r="O443" s="7">
        <f t="shared" si="36"/>
        <v>0.12091476384661488</v>
      </c>
      <c r="P443" s="9">
        <f t="shared" si="41"/>
        <v>76.855025664937472</v>
      </c>
      <c r="Q443" s="7">
        <f t="shared" si="37"/>
        <v>0.69352355657927212</v>
      </c>
      <c r="R443" s="9">
        <f t="shared" si="38"/>
        <v>3.8429480544687109E-3</v>
      </c>
      <c r="V443">
        <v>90379</v>
      </c>
      <c r="W443">
        <v>63082</v>
      </c>
      <c r="Y443">
        <v>223767</v>
      </c>
      <c r="Z443">
        <v>124241</v>
      </c>
      <c r="AB443">
        <v>59014</v>
      </c>
      <c r="AC443">
        <v>10289</v>
      </c>
    </row>
    <row r="444" spans="1:29" x14ac:dyDescent="0.3">
      <c r="A444" t="s">
        <v>454</v>
      </c>
      <c r="B444" t="s">
        <v>516</v>
      </c>
      <c r="C444">
        <v>2022</v>
      </c>
      <c r="D444" s="2">
        <v>61120</v>
      </c>
      <c r="E444" s="2">
        <v>18767</v>
      </c>
      <c r="F444" s="2">
        <v>42353</v>
      </c>
      <c r="G444" s="2">
        <v>85205</v>
      </c>
      <c r="H444" s="2">
        <v>94239</v>
      </c>
      <c r="I444" s="2">
        <v>-9034</v>
      </c>
      <c r="J444" s="2">
        <v>-11963</v>
      </c>
      <c r="K444" s="2">
        <v>13072879</v>
      </c>
      <c r="L444" s="2">
        <v>12004471</v>
      </c>
      <c r="M444" s="2">
        <f t="shared" si="39"/>
        <v>12224</v>
      </c>
      <c r="N444" s="2">
        <f t="shared" si="40"/>
        <v>8470.6</v>
      </c>
      <c r="O444" s="7">
        <f t="shared" si="36"/>
        <v>-0.14040255853529723</v>
      </c>
      <c r="P444" s="9">
        <f t="shared" si="41"/>
        <v>91.827293743023247</v>
      </c>
      <c r="Q444" s="7">
        <f t="shared" si="37"/>
        <v>1.1060266416290123</v>
      </c>
      <c r="R444" s="9">
        <f t="shared" si="38"/>
        <v>3.2397607290635829E-3</v>
      </c>
      <c r="V444">
        <v>61120</v>
      </c>
      <c r="W444">
        <v>42353</v>
      </c>
      <c r="Y444">
        <v>85093</v>
      </c>
      <c r="Z444">
        <v>26079</v>
      </c>
      <c r="AB444">
        <v>94239</v>
      </c>
      <c r="AC444">
        <v>-11963</v>
      </c>
    </row>
    <row r="445" spans="1:29" x14ac:dyDescent="0.3">
      <c r="A445" t="s">
        <v>455</v>
      </c>
      <c r="B445" t="s">
        <v>516</v>
      </c>
      <c r="C445">
        <v>2022</v>
      </c>
      <c r="D445" s="2">
        <v>145040</v>
      </c>
      <c r="E445" s="2">
        <v>27438</v>
      </c>
      <c r="F445" s="2">
        <v>117602</v>
      </c>
      <c r="G445" s="2">
        <v>186117</v>
      </c>
      <c r="H445" s="2">
        <v>20744</v>
      </c>
      <c r="I445" s="2">
        <v>165373</v>
      </c>
      <c r="J445" s="2">
        <v>153724</v>
      </c>
      <c r="K445" s="2">
        <v>10217092</v>
      </c>
      <c r="L445" s="2">
        <v>11264605</v>
      </c>
      <c r="M445" s="2">
        <f t="shared" si="39"/>
        <v>29008</v>
      </c>
      <c r="N445" s="2">
        <f t="shared" si="40"/>
        <v>23520.400000000001</v>
      </c>
      <c r="O445" s="7">
        <f t="shared" si="36"/>
        <v>0.82595356684236265</v>
      </c>
      <c r="P445" s="9">
        <f t="shared" si="41"/>
        <v>110.25255522804336</v>
      </c>
      <c r="Q445" s="7">
        <f t="shared" si="37"/>
        <v>0.11145677181557838</v>
      </c>
      <c r="R445" s="9">
        <f t="shared" si="38"/>
        <v>1.1510320157633895E-2</v>
      </c>
      <c r="V445">
        <v>145040</v>
      </c>
      <c r="W445">
        <v>117602</v>
      </c>
      <c r="Y445">
        <v>85205</v>
      </c>
      <c r="Z445">
        <v>-9034</v>
      </c>
      <c r="AB445">
        <v>20744</v>
      </c>
      <c r="AC445">
        <v>153724</v>
      </c>
    </row>
    <row r="446" spans="1:29" x14ac:dyDescent="0.3">
      <c r="A446" t="s">
        <v>456</v>
      </c>
      <c r="B446" t="s">
        <v>516</v>
      </c>
      <c r="C446">
        <v>2022</v>
      </c>
      <c r="D446" s="2">
        <v>92359</v>
      </c>
      <c r="E446" s="2">
        <v>29799</v>
      </c>
      <c r="F446" s="2">
        <v>62560</v>
      </c>
      <c r="G446" s="2">
        <v>181306</v>
      </c>
      <c r="H446" s="2">
        <v>85188</v>
      </c>
      <c r="I446" s="2">
        <v>96118</v>
      </c>
      <c r="J446" s="2">
        <v>84748</v>
      </c>
      <c r="K446" s="2">
        <v>12871917</v>
      </c>
      <c r="L446" s="2">
        <v>8446079</v>
      </c>
      <c r="M446" s="2">
        <f t="shared" si="39"/>
        <v>18471.8</v>
      </c>
      <c r="N446" s="2">
        <f t="shared" si="40"/>
        <v>12512</v>
      </c>
      <c r="O446" s="7">
        <f t="shared" si="36"/>
        <v>0.46743075242959414</v>
      </c>
      <c r="P446" s="9">
        <f t="shared" si="41"/>
        <v>65.616325835537936</v>
      </c>
      <c r="Q446" s="7">
        <f t="shared" si="37"/>
        <v>0.46985758882772771</v>
      </c>
      <c r="R446" s="9">
        <f t="shared" si="38"/>
        <v>4.8601929300818207E-3</v>
      </c>
      <c r="V446">
        <v>92359</v>
      </c>
      <c r="W446">
        <v>62560</v>
      </c>
      <c r="Y446">
        <v>186117</v>
      </c>
      <c r="Z446">
        <v>165373</v>
      </c>
      <c r="AB446">
        <v>85188</v>
      </c>
      <c r="AC446">
        <v>84748</v>
      </c>
    </row>
    <row r="447" spans="1:29" x14ac:dyDescent="0.3">
      <c r="A447" t="s">
        <v>457</v>
      </c>
      <c r="B447" t="s">
        <v>516</v>
      </c>
      <c r="C447">
        <v>2022</v>
      </c>
      <c r="D447" s="2">
        <v>164650</v>
      </c>
      <c r="E447" s="2">
        <v>36417</v>
      </c>
      <c r="F447" s="2">
        <v>128233</v>
      </c>
      <c r="G447" s="2">
        <v>166926</v>
      </c>
      <c r="H447" s="2">
        <v>94674</v>
      </c>
      <c r="I447" s="2">
        <v>72252</v>
      </c>
      <c r="J447" s="2">
        <v>52958</v>
      </c>
      <c r="K447" s="2">
        <v>19930164</v>
      </c>
      <c r="L447" s="2">
        <v>3782877</v>
      </c>
      <c r="M447" s="2">
        <f t="shared" si="39"/>
        <v>32930</v>
      </c>
      <c r="N447" s="2">
        <f t="shared" si="40"/>
        <v>25646.6</v>
      </c>
      <c r="O447" s="7">
        <f t="shared" si="36"/>
        <v>0.31725435222793336</v>
      </c>
      <c r="P447" s="9">
        <f t="shared" si="41"/>
        <v>18.980661674434788</v>
      </c>
      <c r="Q447" s="7">
        <f t="shared" si="37"/>
        <v>0.56716149671111749</v>
      </c>
      <c r="R447" s="9">
        <f t="shared" si="38"/>
        <v>6.4341166485132788E-3</v>
      </c>
      <c r="V447">
        <v>164650</v>
      </c>
      <c r="W447">
        <v>128233</v>
      </c>
      <c r="Y447">
        <v>181306</v>
      </c>
      <c r="Z447">
        <v>96118</v>
      </c>
      <c r="AB447">
        <v>94674</v>
      </c>
      <c r="AC447">
        <v>52958</v>
      </c>
    </row>
    <row r="448" spans="1:29" x14ac:dyDescent="0.3">
      <c r="A448" t="s">
        <v>458</v>
      </c>
      <c r="B448" t="s">
        <v>516</v>
      </c>
      <c r="C448">
        <v>2022</v>
      </c>
      <c r="D448" s="2">
        <v>183241</v>
      </c>
      <c r="E448" s="2">
        <v>32052</v>
      </c>
      <c r="F448" s="2">
        <v>151189</v>
      </c>
      <c r="G448" s="2">
        <v>243038</v>
      </c>
      <c r="H448" s="2">
        <v>88851</v>
      </c>
      <c r="I448" s="2">
        <v>154187</v>
      </c>
      <c r="J448" s="2">
        <v>144151</v>
      </c>
      <c r="K448" s="2">
        <v>10798946</v>
      </c>
      <c r="L448" s="2">
        <v>10236694</v>
      </c>
      <c r="M448" s="2">
        <f t="shared" si="39"/>
        <v>36648.199999999997</v>
      </c>
      <c r="N448" s="2">
        <f t="shared" si="40"/>
        <v>30237.8</v>
      </c>
      <c r="O448" s="7">
        <f t="shared" si="36"/>
        <v>0.59312124029987079</v>
      </c>
      <c r="P448" s="9">
        <f t="shared" si="41"/>
        <v>94.79345484272261</v>
      </c>
      <c r="Q448" s="7">
        <f t="shared" si="37"/>
        <v>0.36558480566824941</v>
      </c>
      <c r="R448" s="9">
        <f t="shared" si="38"/>
        <v>1.4000347811721625E-2</v>
      </c>
      <c r="V448">
        <v>183241</v>
      </c>
      <c r="W448">
        <v>151189</v>
      </c>
      <c r="Y448">
        <v>166926</v>
      </c>
      <c r="Z448">
        <v>72252</v>
      </c>
      <c r="AB448">
        <v>88851</v>
      </c>
      <c r="AC448">
        <v>144151</v>
      </c>
    </row>
    <row r="449" spans="1:29" x14ac:dyDescent="0.3">
      <c r="A449" t="s">
        <v>459</v>
      </c>
      <c r="B449" t="s">
        <v>516</v>
      </c>
      <c r="C449">
        <v>2022</v>
      </c>
      <c r="D449" s="2">
        <v>187416</v>
      </c>
      <c r="E449" s="2">
        <v>28800</v>
      </c>
      <c r="F449" s="2">
        <v>158616</v>
      </c>
      <c r="G449" s="2">
        <v>203988</v>
      </c>
      <c r="H449" s="2">
        <v>76516</v>
      </c>
      <c r="I449" s="2">
        <v>127472</v>
      </c>
      <c r="J449" s="2">
        <v>110499</v>
      </c>
      <c r="K449" s="2">
        <v>16867635</v>
      </c>
      <c r="L449" s="2">
        <v>14593836</v>
      </c>
      <c r="M449" s="2">
        <f t="shared" si="39"/>
        <v>37483.199999999997</v>
      </c>
      <c r="N449" s="2">
        <f t="shared" si="40"/>
        <v>31723.200000000001</v>
      </c>
      <c r="O449" s="7">
        <f t="shared" si="36"/>
        <v>0.54169362903700213</v>
      </c>
      <c r="P449" s="9">
        <f t="shared" si="41"/>
        <v>86.519752176283163</v>
      </c>
      <c r="Q449" s="7">
        <f t="shared" si="37"/>
        <v>0.3751004961076142</v>
      </c>
      <c r="R449" s="9">
        <f t="shared" si="38"/>
        <v>9.4035708029015334E-3</v>
      </c>
      <c r="V449">
        <v>187416</v>
      </c>
      <c r="W449">
        <v>158616</v>
      </c>
      <c r="Y449">
        <v>243038</v>
      </c>
      <c r="Z449">
        <v>154187</v>
      </c>
      <c r="AB449">
        <v>76516</v>
      </c>
      <c r="AC449">
        <v>110499</v>
      </c>
    </row>
    <row r="450" spans="1:29" x14ac:dyDescent="0.3">
      <c r="A450" t="s">
        <v>460</v>
      </c>
      <c r="B450" t="s">
        <v>516</v>
      </c>
      <c r="C450">
        <v>2022</v>
      </c>
      <c r="D450" s="2">
        <v>160659</v>
      </c>
      <c r="E450" s="2">
        <v>37716</v>
      </c>
      <c r="F450" s="2">
        <v>122943</v>
      </c>
      <c r="G450" s="2">
        <v>146179</v>
      </c>
      <c r="H450" s="2">
        <v>30848</v>
      </c>
      <c r="I450" s="2">
        <v>115331</v>
      </c>
      <c r="J450" s="2">
        <v>110979</v>
      </c>
      <c r="K450" s="2">
        <v>9327308</v>
      </c>
      <c r="L450" s="2">
        <v>14348641</v>
      </c>
      <c r="M450" s="2">
        <f t="shared" si="39"/>
        <v>32131.8</v>
      </c>
      <c r="N450" s="2">
        <f t="shared" si="40"/>
        <v>24588.6</v>
      </c>
      <c r="O450" s="7">
        <f t="shared" ref="O450:O501" si="42">J450/G450</f>
        <v>0.75919933779817894</v>
      </c>
      <c r="P450" s="9">
        <f t="shared" si="41"/>
        <v>153.83475060542656</v>
      </c>
      <c r="Q450" s="7">
        <f t="shared" ref="Q450:Q501" si="43">H450/G450</f>
        <v>0.21102894396595953</v>
      </c>
      <c r="R450" s="9">
        <f t="shared" ref="R450:R501" si="44">F450/K450</f>
        <v>1.3180973545636104E-2</v>
      </c>
      <c r="V450">
        <v>160659</v>
      </c>
      <c r="W450">
        <v>122943</v>
      </c>
      <c r="Y450">
        <v>203988</v>
      </c>
      <c r="Z450">
        <v>127472</v>
      </c>
      <c r="AB450">
        <v>30848</v>
      </c>
      <c r="AC450">
        <v>110979</v>
      </c>
    </row>
    <row r="451" spans="1:29" x14ac:dyDescent="0.3">
      <c r="A451" t="s">
        <v>461</v>
      </c>
      <c r="B451" t="s">
        <v>516</v>
      </c>
      <c r="C451">
        <v>2022</v>
      </c>
      <c r="D451" s="2">
        <v>58556</v>
      </c>
      <c r="E451" s="2">
        <v>15498</v>
      </c>
      <c r="F451" s="2">
        <v>43058</v>
      </c>
      <c r="G451" s="2">
        <v>139176</v>
      </c>
      <c r="H451" s="2">
        <v>65098</v>
      </c>
      <c r="I451" s="2">
        <v>74078</v>
      </c>
      <c r="J451" s="2">
        <v>58213</v>
      </c>
      <c r="K451" s="2">
        <v>16150689</v>
      </c>
      <c r="L451" s="2">
        <v>9538655</v>
      </c>
      <c r="M451" s="2">
        <f t="shared" ref="M451:M501" si="45">D451/5</f>
        <v>11711.2</v>
      </c>
      <c r="N451" s="2">
        <f t="shared" ref="N451:N501" si="46">F451/5</f>
        <v>8611.6</v>
      </c>
      <c r="O451" s="7">
        <f t="shared" si="42"/>
        <v>0.41826895441742828</v>
      </c>
      <c r="P451" s="9">
        <f t="shared" ref="P451:P501" si="47">L451/K451*100</f>
        <v>59.060359592089227</v>
      </c>
      <c r="Q451" s="7">
        <f t="shared" si="43"/>
        <v>0.46773869057883544</v>
      </c>
      <c r="R451" s="9">
        <f t="shared" si="44"/>
        <v>2.6660162919365238E-3</v>
      </c>
      <c r="V451">
        <v>58556</v>
      </c>
      <c r="W451">
        <v>43058</v>
      </c>
      <c r="Y451">
        <v>146179</v>
      </c>
      <c r="Z451">
        <v>115331</v>
      </c>
      <c r="AB451">
        <v>65098</v>
      </c>
      <c r="AC451">
        <v>58213</v>
      </c>
    </row>
    <row r="452" spans="1:29" x14ac:dyDescent="0.3">
      <c r="A452" t="s">
        <v>462</v>
      </c>
      <c r="B452" t="s">
        <v>516</v>
      </c>
      <c r="C452">
        <v>2022</v>
      </c>
      <c r="D452" s="2">
        <v>176060</v>
      </c>
      <c r="E452" s="2">
        <v>66882</v>
      </c>
      <c r="F452" s="2">
        <v>109178</v>
      </c>
      <c r="G452" s="2">
        <v>199571</v>
      </c>
      <c r="H452" s="2">
        <v>15340</v>
      </c>
      <c r="I452" s="2">
        <v>184231</v>
      </c>
      <c r="J452" s="2">
        <v>171050</v>
      </c>
      <c r="K452" s="2">
        <v>11898046</v>
      </c>
      <c r="L452" s="2">
        <v>6077099</v>
      </c>
      <c r="M452" s="2">
        <f t="shared" si="45"/>
        <v>35212</v>
      </c>
      <c r="N452" s="2">
        <f t="shared" si="46"/>
        <v>21835.599999999999</v>
      </c>
      <c r="O452" s="7">
        <f t="shared" si="42"/>
        <v>0.8570884547354074</v>
      </c>
      <c r="P452" s="9">
        <f t="shared" si="47"/>
        <v>51.076445661749837</v>
      </c>
      <c r="Q452" s="7">
        <f t="shared" si="43"/>
        <v>7.6864875157212215E-2</v>
      </c>
      <c r="R452" s="9">
        <f t="shared" si="44"/>
        <v>9.1761285844751319E-3</v>
      </c>
      <c r="V452">
        <v>176060</v>
      </c>
      <c r="W452">
        <v>109178</v>
      </c>
      <c r="Y452">
        <v>139176</v>
      </c>
      <c r="Z452">
        <v>74078</v>
      </c>
      <c r="AB452">
        <v>15340</v>
      </c>
      <c r="AC452">
        <v>171050</v>
      </c>
    </row>
    <row r="453" spans="1:29" x14ac:dyDescent="0.3">
      <c r="A453" t="s">
        <v>463</v>
      </c>
      <c r="B453" t="s">
        <v>516</v>
      </c>
      <c r="C453">
        <v>2022</v>
      </c>
      <c r="D453" s="2">
        <v>50138</v>
      </c>
      <c r="E453" s="2">
        <v>10358</v>
      </c>
      <c r="F453" s="2">
        <v>39780</v>
      </c>
      <c r="G453" s="2">
        <v>135030</v>
      </c>
      <c r="H453" s="2">
        <v>45654</v>
      </c>
      <c r="I453" s="2">
        <v>89376</v>
      </c>
      <c r="J453" s="2">
        <v>71380</v>
      </c>
      <c r="K453" s="2">
        <v>16327970</v>
      </c>
      <c r="L453" s="2">
        <v>11950668</v>
      </c>
      <c r="M453" s="2">
        <f t="shared" si="45"/>
        <v>10027.6</v>
      </c>
      <c r="N453" s="2">
        <f t="shared" si="46"/>
        <v>7956</v>
      </c>
      <c r="O453" s="7">
        <f t="shared" si="42"/>
        <v>0.52862326890320666</v>
      </c>
      <c r="P453" s="9">
        <f t="shared" si="47"/>
        <v>73.191388764188076</v>
      </c>
      <c r="Q453" s="7">
        <f t="shared" si="43"/>
        <v>0.33810264385692068</v>
      </c>
      <c r="R453" s="9">
        <f t="shared" si="44"/>
        <v>2.4363102088012165E-3</v>
      </c>
      <c r="V453">
        <v>50138</v>
      </c>
      <c r="W453">
        <v>39780</v>
      </c>
      <c r="Y453">
        <v>199571</v>
      </c>
      <c r="Z453">
        <v>184231</v>
      </c>
      <c r="AB453">
        <v>45654</v>
      </c>
      <c r="AC453">
        <v>71380</v>
      </c>
    </row>
    <row r="454" spans="1:29" x14ac:dyDescent="0.3">
      <c r="A454" t="s">
        <v>464</v>
      </c>
      <c r="B454" t="s">
        <v>516</v>
      </c>
      <c r="C454">
        <v>2022</v>
      </c>
      <c r="D454" s="2">
        <v>108478</v>
      </c>
      <c r="E454" s="2">
        <v>74353</v>
      </c>
      <c r="F454" s="2">
        <v>34125</v>
      </c>
      <c r="G454" s="2">
        <v>80887</v>
      </c>
      <c r="H454" s="2">
        <v>28283</v>
      </c>
      <c r="I454" s="2">
        <v>52604</v>
      </c>
      <c r="J454" s="2">
        <v>43952</v>
      </c>
      <c r="K454" s="2">
        <v>12133456</v>
      </c>
      <c r="L454" s="2">
        <v>3871522</v>
      </c>
      <c r="M454" s="2">
        <f t="shared" si="45"/>
        <v>21695.599999999999</v>
      </c>
      <c r="N454" s="2">
        <f t="shared" si="46"/>
        <v>6825</v>
      </c>
      <c r="O454" s="7">
        <f t="shared" si="42"/>
        <v>0.54337532607217476</v>
      </c>
      <c r="P454" s="9">
        <f t="shared" si="47"/>
        <v>31.907825767036201</v>
      </c>
      <c r="Q454" s="7">
        <f t="shared" si="43"/>
        <v>0.34966063767972605</v>
      </c>
      <c r="R454" s="9">
        <f t="shared" si="44"/>
        <v>2.8124715662215284E-3</v>
      </c>
      <c r="V454">
        <v>108478</v>
      </c>
      <c r="W454">
        <v>34125</v>
      </c>
      <c r="Y454">
        <v>135030</v>
      </c>
      <c r="Z454">
        <v>89376</v>
      </c>
      <c r="AB454">
        <v>28283</v>
      </c>
      <c r="AC454">
        <v>43952</v>
      </c>
    </row>
    <row r="455" spans="1:29" x14ac:dyDescent="0.3">
      <c r="A455" t="s">
        <v>465</v>
      </c>
      <c r="B455" t="s">
        <v>516</v>
      </c>
      <c r="C455">
        <v>2022</v>
      </c>
      <c r="D455" s="2">
        <v>70219</v>
      </c>
      <c r="E455" s="2">
        <v>67169</v>
      </c>
      <c r="F455" s="2">
        <v>3050</v>
      </c>
      <c r="G455" s="2">
        <v>98015</v>
      </c>
      <c r="H455" s="2">
        <v>61840</v>
      </c>
      <c r="I455" s="2">
        <v>36175</v>
      </c>
      <c r="J455" s="2">
        <v>22248</v>
      </c>
      <c r="K455" s="2">
        <v>19916345</v>
      </c>
      <c r="L455" s="2">
        <v>5181906</v>
      </c>
      <c r="M455" s="2">
        <f t="shared" si="45"/>
        <v>14043.8</v>
      </c>
      <c r="N455" s="2">
        <f t="shared" si="46"/>
        <v>610</v>
      </c>
      <c r="O455" s="7">
        <f t="shared" si="42"/>
        <v>0.22698566545936846</v>
      </c>
      <c r="P455" s="9">
        <f t="shared" si="47"/>
        <v>26.018358288129672</v>
      </c>
      <c r="Q455" s="7">
        <f t="shared" si="43"/>
        <v>0.63092383818803244</v>
      </c>
      <c r="R455" s="9">
        <f t="shared" si="44"/>
        <v>1.5314054862978121E-4</v>
      </c>
      <c r="V455">
        <v>70219</v>
      </c>
      <c r="W455">
        <v>3050</v>
      </c>
      <c r="Y455">
        <v>80887</v>
      </c>
      <c r="Z455">
        <v>52604</v>
      </c>
      <c r="AB455">
        <v>61840</v>
      </c>
      <c r="AC455">
        <v>22248</v>
      </c>
    </row>
    <row r="456" spans="1:29" x14ac:dyDescent="0.3">
      <c r="A456" t="s">
        <v>466</v>
      </c>
      <c r="B456" t="s">
        <v>516</v>
      </c>
      <c r="C456">
        <v>2022</v>
      </c>
      <c r="D456" s="2">
        <v>127988</v>
      </c>
      <c r="E456" s="2">
        <v>68342</v>
      </c>
      <c r="F456" s="2">
        <v>59646</v>
      </c>
      <c r="G456" s="2">
        <v>98597</v>
      </c>
      <c r="H456" s="2">
        <v>16307</v>
      </c>
      <c r="I456" s="2">
        <v>82290</v>
      </c>
      <c r="J456" s="2">
        <v>65438</v>
      </c>
      <c r="K456" s="2">
        <v>17411536</v>
      </c>
      <c r="L456" s="2">
        <v>3239779</v>
      </c>
      <c r="M456" s="2">
        <f t="shared" si="45"/>
        <v>25597.599999999999</v>
      </c>
      <c r="N456" s="2">
        <f t="shared" si="46"/>
        <v>11929.2</v>
      </c>
      <c r="O456" s="7">
        <f t="shared" si="42"/>
        <v>0.66369159305049852</v>
      </c>
      <c r="P456" s="9">
        <f t="shared" si="47"/>
        <v>18.607083257904414</v>
      </c>
      <c r="Q456" s="7">
        <f t="shared" si="43"/>
        <v>0.16539042770063997</v>
      </c>
      <c r="R456" s="9">
        <f t="shared" si="44"/>
        <v>3.4256598613700709E-3</v>
      </c>
      <c r="V456">
        <v>127988</v>
      </c>
      <c r="W456">
        <v>59646</v>
      </c>
      <c r="Y456">
        <v>98015</v>
      </c>
      <c r="Z456">
        <v>36175</v>
      </c>
      <c r="AB456">
        <v>16307</v>
      </c>
      <c r="AC456">
        <v>65438</v>
      </c>
    </row>
    <row r="457" spans="1:29" x14ac:dyDescent="0.3">
      <c r="A457" t="s">
        <v>467</v>
      </c>
      <c r="B457" t="s">
        <v>516</v>
      </c>
      <c r="C457">
        <v>2022</v>
      </c>
      <c r="D457" s="2">
        <v>142021</v>
      </c>
      <c r="E457" s="2">
        <v>48975</v>
      </c>
      <c r="F457" s="2">
        <v>93046</v>
      </c>
      <c r="G457" s="2">
        <v>114186</v>
      </c>
      <c r="H457" s="2">
        <v>39842</v>
      </c>
      <c r="I457" s="2">
        <v>74344</v>
      </c>
      <c r="J457" s="2">
        <v>70636</v>
      </c>
      <c r="K457" s="2">
        <v>11164014</v>
      </c>
      <c r="L457" s="2">
        <v>14947147</v>
      </c>
      <c r="M457" s="2">
        <f t="shared" si="45"/>
        <v>28404.2</v>
      </c>
      <c r="N457" s="2">
        <f t="shared" si="46"/>
        <v>18609.2</v>
      </c>
      <c r="O457" s="7">
        <f t="shared" si="42"/>
        <v>0.618604732629219</v>
      </c>
      <c r="P457" s="9">
        <f t="shared" si="47"/>
        <v>133.88685288284304</v>
      </c>
      <c r="Q457" s="7">
        <f t="shared" si="43"/>
        <v>0.34892193438775332</v>
      </c>
      <c r="R457" s="9">
        <f t="shared" si="44"/>
        <v>8.3344574809741372E-3</v>
      </c>
      <c r="V457">
        <v>142021</v>
      </c>
      <c r="W457">
        <v>93046</v>
      </c>
      <c r="Y457">
        <v>98597</v>
      </c>
      <c r="Z457">
        <v>82290</v>
      </c>
      <c r="AB457">
        <v>39842</v>
      </c>
      <c r="AC457">
        <v>70636</v>
      </c>
    </row>
    <row r="458" spans="1:29" x14ac:dyDescent="0.3">
      <c r="A458" t="s">
        <v>468</v>
      </c>
      <c r="B458" t="s">
        <v>516</v>
      </c>
      <c r="C458">
        <v>2022</v>
      </c>
      <c r="D458" s="2">
        <v>126021</v>
      </c>
      <c r="E458" s="2">
        <v>38308</v>
      </c>
      <c r="F458" s="2">
        <v>87713</v>
      </c>
      <c r="G458" s="2">
        <v>152502</v>
      </c>
      <c r="H458" s="2">
        <v>70690</v>
      </c>
      <c r="I458" s="2">
        <v>81812</v>
      </c>
      <c r="J458" s="2">
        <v>62953</v>
      </c>
      <c r="K458" s="2">
        <v>18114884</v>
      </c>
      <c r="L458" s="2">
        <v>8333968</v>
      </c>
      <c r="M458" s="2">
        <f t="shared" si="45"/>
        <v>25204.2</v>
      </c>
      <c r="N458" s="2">
        <f t="shared" si="46"/>
        <v>17542.599999999999</v>
      </c>
      <c r="O458" s="7">
        <f t="shared" si="42"/>
        <v>0.41280114359155945</v>
      </c>
      <c r="P458" s="9">
        <f t="shared" si="47"/>
        <v>46.006190268731501</v>
      </c>
      <c r="Q458" s="7">
        <f t="shared" si="43"/>
        <v>0.46353490446026935</v>
      </c>
      <c r="R458" s="9">
        <f t="shared" si="44"/>
        <v>4.8420403906533436E-3</v>
      </c>
      <c r="V458">
        <v>126021</v>
      </c>
      <c r="W458">
        <v>87713</v>
      </c>
      <c r="Y458">
        <v>114186</v>
      </c>
      <c r="Z458">
        <v>74344</v>
      </c>
      <c r="AB458">
        <v>70690</v>
      </c>
      <c r="AC458">
        <v>62953</v>
      </c>
    </row>
    <row r="459" spans="1:29" x14ac:dyDescent="0.3">
      <c r="A459" t="s">
        <v>469</v>
      </c>
      <c r="B459" t="s">
        <v>516</v>
      </c>
      <c r="C459">
        <v>2022</v>
      </c>
      <c r="D459" s="2">
        <v>182279</v>
      </c>
      <c r="E459" s="2">
        <v>56099</v>
      </c>
      <c r="F459" s="2">
        <v>126180</v>
      </c>
      <c r="G459" s="2">
        <v>213676</v>
      </c>
      <c r="H459" s="2">
        <v>81093</v>
      </c>
      <c r="I459" s="2">
        <v>132583</v>
      </c>
      <c r="J459" s="2">
        <v>114700</v>
      </c>
      <c r="K459" s="2">
        <v>8683909</v>
      </c>
      <c r="L459" s="2">
        <v>4539600</v>
      </c>
      <c r="M459" s="2">
        <f t="shared" si="45"/>
        <v>36455.800000000003</v>
      </c>
      <c r="N459" s="2">
        <f t="shared" si="46"/>
        <v>25236</v>
      </c>
      <c r="O459" s="7">
        <f t="shared" si="42"/>
        <v>0.53679402459798953</v>
      </c>
      <c r="P459" s="9">
        <f t="shared" si="47"/>
        <v>52.275996904159172</v>
      </c>
      <c r="Q459" s="7">
        <f t="shared" si="43"/>
        <v>0.3795138433890563</v>
      </c>
      <c r="R459" s="9">
        <f t="shared" si="44"/>
        <v>1.4530322692234568E-2</v>
      </c>
      <c r="V459">
        <v>182279</v>
      </c>
      <c r="W459">
        <v>126180</v>
      </c>
      <c r="Y459">
        <v>152502</v>
      </c>
      <c r="Z459">
        <v>81812</v>
      </c>
      <c r="AB459">
        <v>81093</v>
      </c>
      <c r="AC459">
        <v>114700</v>
      </c>
    </row>
    <row r="460" spans="1:29" x14ac:dyDescent="0.3">
      <c r="A460" t="s">
        <v>470</v>
      </c>
      <c r="B460" t="s">
        <v>516</v>
      </c>
      <c r="C460">
        <v>2022</v>
      </c>
      <c r="D460" s="2">
        <v>116418</v>
      </c>
      <c r="E460" s="2">
        <v>70011</v>
      </c>
      <c r="F460" s="2">
        <v>46407</v>
      </c>
      <c r="G460" s="2">
        <v>105042</v>
      </c>
      <c r="H460" s="2">
        <v>71115</v>
      </c>
      <c r="I460" s="2">
        <v>33927</v>
      </c>
      <c r="J460" s="2">
        <v>19058</v>
      </c>
      <c r="K460" s="2">
        <v>17000254</v>
      </c>
      <c r="L460" s="2">
        <v>10156406</v>
      </c>
      <c r="M460" s="2">
        <f t="shared" si="45"/>
        <v>23283.599999999999</v>
      </c>
      <c r="N460" s="2">
        <f t="shared" si="46"/>
        <v>9281.4</v>
      </c>
      <c r="O460" s="7">
        <f t="shared" si="42"/>
        <v>0.18143218902915023</v>
      </c>
      <c r="P460" s="9">
        <f t="shared" si="47"/>
        <v>59.742672080075977</v>
      </c>
      <c r="Q460" s="7">
        <f t="shared" si="43"/>
        <v>0.67701490832238531</v>
      </c>
      <c r="R460" s="9">
        <f t="shared" si="44"/>
        <v>2.7297827432460715E-3</v>
      </c>
      <c r="V460">
        <v>116418</v>
      </c>
      <c r="W460">
        <v>46407</v>
      </c>
      <c r="Y460">
        <v>213676</v>
      </c>
      <c r="Z460">
        <v>132583</v>
      </c>
      <c r="AB460">
        <v>71115</v>
      </c>
      <c r="AC460">
        <v>19058</v>
      </c>
    </row>
    <row r="461" spans="1:29" x14ac:dyDescent="0.3">
      <c r="A461" t="s">
        <v>471</v>
      </c>
      <c r="B461" t="s">
        <v>516</v>
      </c>
      <c r="C461">
        <v>2022</v>
      </c>
      <c r="D461" s="2">
        <v>156233</v>
      </c>
      <c r="E461" s="2">
        <v>68954</v>
      </c>
      <c r="F461" s="2">
        <v>87279</v>
      </c>
      <c r="G461" s="2">
        <v>135343</v>
      </c>
      <c r="H461" s="2">
        <v>94063</v>
      </c>
      <c r="I461" s="2">
        <v>41280</v>
      </c>
      <c r="J461" s="2">
        <v>36826</v>
      </c>
      <c r="K461" s="2">
        <v>6230746</v>
      </c>
      <c r="L461" s="2">
        <v>6289791</v>
      </c>
      <c r="M461" s="2">
        <f t="shared" si="45"/>
        <v>31246.6</v>
      </c>
      <c r="N461" s="2">
        <f t="shared" si="46"/>
        <v>17455.8</v>
      </c>
      <c r="O461" s="7">
        <f t="shared" si="42"/>
        <v>0.27209386521652396</v>
      </c>
      <c r="P461" s="9">
        <f t="shared" si="47"/>
        <v>100.94763933564295</v>
      </c>
      <c r="Q461" s="7">
        <f t="shared" si="43"/>
        <v>0.69499715537560125</v>
      </c>
      <c r="R461" s="9">
        <f t="shared" si="44"/>
        <v>1.4007792967326866E-2</v>
      </c>
      <c r="V461">
        <v>156233</v>
      </c>
      <c r="W461">
        <v>87279</v>
      </c>
      <c r="Y461">
        <v>105042</v>
      </c>
      <c r="Z461">
        <v>33927</v>
      </c>
      <c r="AB461">
        <v>94063</v>
      </c>
      <c r="AC461">
        <v>36826</v>
      </c>
    </row>
    <row r="462" spans="1:29" x14ac:dyDescent="0.3">
      <c r="A462" t="s">
        <v>472</v>
      </c>
      <c r="B462" t="s">
        <v>516</v>
      </c>
      <c r="C462">
        <v>2023</v>
      </c>
      <c r="D462" s="2">
        <v>118344</v>
      </c>
      <c r="E462" s="2">
        <v>46593</v>
      </c>
      <c r="F462" s="2">
        <v>71751</v>
      </c>
      <c r="G462" s="2">
        <v>128055</v>
      </c>
      <c r="H462" s="2">
        <v>45386</v>
      </c>
      <c r="I462" s="2">
        <v>82669</v>
      </c>
      <c r="J462" s="2">
        <v>65360</v>
      </c>
      <c r="K462" s="2">
        <v>17259034</v>
      </c>
      <c r="L462" s="2">
        <v>8730385</v>
      </c>
      <c r="M462" s="2">
        <f t="shared" si="45"/>
        <v>23668.799999999999</v>
      </c>
      <c r="N462" s="2">
        <f t="shared" si="46"/>
        <v>14350.2</v>
      </c>
      <c r="O462" s="7">
        <f t="shared" si="42"/>
        <v>0.51040568505720196</v>
      </c>
      <c r="P462" s="9">
        <f t="shared" si="47"/>
        <v>50.584435953947363</v>
      </c>
      <c r="Q462" s="7">
        <f t="shared" si="43"/>
        <v>0.35442583265003319</v>
      </c>
      <c r="R462" s="9">
        <f t="shared" si="44"/>
        <v>4.1573010401393263E-3</v>
      </c>
      <c r="V462">
        <v>68354</v>
      </c>
      <c r="W462">
        <v>36164</v>
      </c>
      <c r="Y462">
        <v>135343</v>
      </c>
      <c r="Z462">
        <v>41280</v>
      </c>
      <c r="AB462">
        <v>45386</v>
      </c>
      <c r="AC462">
        <v>65360</v>
      </c>
    </row>
    <row r="463" spans="1:29" x14ac:dyDescent="0.3">
      <c r="A463" t="s">
        <v>473</v>
      </c>
      <c r="B463" t="s">
        <v>516</v>
      </c>
      <c r="C463">
        <v>2023</v>
      </c>
      <c r="D463" s="2">
        <v>68354</v>
      </c>
      <c r="E463" s="2">
        <v>32190</v>
      </c>
      <c r="F463" s="2">
        <v>36164</v>
      </c>
      <c r="G463" s="2">
        <v>62306</v>
      </c>
      <c r="H463" s="2">
        <v>43398</v>
      </c>
      <c r="I463" s="2">
        <v>18908</v>
      </c>
      <c r="J463" s="2">
        <v>7814</v>
      </c>
      <c r="K463" s="2">
        <v>17550508</v>
      </c>
      <c r="L463" s="2">
        <v>8393455</v>
      </c>
      <c r="M463" s="2">
        <f t="shared" si="45"/>
        <v>13670.8</v>
      </c>
      <c r="N463" s="2">
        <f t="shared" si="46"/>
        <v>7232.8</v>
      </c>
      <c r="O463" s="7">
        <f t="shared" si="42"/>
        <v>0.12541328282990402</v>
      </c>
      <c r="P463" s="9">
        <f t="shared" si="47"/>
        <v>47.824570092216135</v>
      </c>
      <c r="Q463" s="7">
        <f t="shared" si="43"/>
        <v>0.69653002921066987</v>
      </c>
      <c r="R463" s="9">
        <f t="shared" si="44"/>
        <v>2.0605671357205157E-3</v>
      </c>
      <c r="V463">
        <v>175438</v>
      </c>
      <c r="W463">
        <v>116982</v>
      </c>
      <c r="Y463">
        <v>128055</v>
      </c>
      <c r="Z463">
        <v>82669</v>
      </c>
      <c r="AB463">
        <v>43398</v>
      </c>
      <c r="AC463">
        <v>7814</v>
      </c>
    </row>
    <row r="464" spans="1:29" x14ac:dyDescent="0.3">
      <c r="A464" t="s">
        <v>474</v>
      </c>
      <c r="B464" t="s">
        <v>516</v>
      </c>
      <c r="C464">
        <v>2023</v>
      </c>
      <c r="D464" s="2">
        <v>175438</v>
      </c>
      <c r="E464" s="2">
        <v>58456</v>
      </c>
      <c r="F464" s="2">
        <v>116982</v>
      </c>
      <c r="G464" s="2">
        <v>219017</v>
      </c>
      <c r="H464" s="2">
        <v>23016</v>
      </c>
      <c r="I464" s="2">
        <v>196001</v>
      </c>
      <c r="J464" s="2">
        <v>191617</v>
      </c>
      <c r="K464" s="2">
        <v>18824880</v>
      </c>
      <c r="L464" s="2">
        <v>9699744</v>
      </c>
      <c r="M464" s="2">
        <f t="shared" si="45"/>
        <v>35087.599999999999</v>
      </c>
      <c r="N464" s="2">
        <f t="shared" si="46"/>
        <v>23396.400000000001</v>
      </c>
      <c r="O464" s="7">
        <f t="shared" si="42"/>
        <v>0.87489555605272651</v>
      </c>
      <c r="P464" s="9">
        <f t="shared" si="47"/>
        <v>51.526192995652565</v>
      </c>
      <c r="Q464" s="7">
        <f t="shared" si="43"/>
        <v>0.10508773291570973</v>
      </c>
      <c r="R464" s="9">
        <f t="shared" si="44"/>
        <v>6.2142228795083951E-3</v>
      </c>
      <c r="V464">
        <v>152239</v>
      </c>
      <c r="W464">
        <v>101729</v>
      </c>
      <c r="Y464">
        <v>62306</v>
      </c>
      <c r="Z464">
        <v>18908</v>
      </c>
      <c r="AB464">
        <v>23016</v>
      </c>
      <c r="AC464">
        <v>244145</v>
      </c>
    </row>
    <row r="465" spans="1:29" x14ac:dyDescent="0.3">
      <c r="A465" t="s">
        <v>475</v>
      </c>
      <c r="B465" t="s">
        <v>516</v>
      </c>
      <c r="C465">
        <v>2023</v>
      </c>
      <c r="D465" s="2">
        <v>152239</v>
      </c>
      <c r="E465" s="2">
        <v>50510</v>
      </c>
      <c r="F465" s="2">
        <v>101729</v>
      </c>
      <c r="G465" s="2">
        <v>170662</v>
      </c>
      <c r="H465" s="2">
        <v>36826</v>
      </c>
      <c r="I465" s="2">
        <v>133836</v>
      </c>
      <c r="J465" s="2">
        <v>129346</v>
      </c>
      <c r="K465" s="2">
        <v>19801732</v>
      </c>
      <c r="L465" s="2">
        <v>14252748</v>
      </c>
      <c r="M465" s="2">
        <f t="shared" si="45"/>
        <v>30447.8</v>
      </c>
      <c r="N465" s="2">
        <f t="shared" si="46"/>
        <v>20345.8</v>
      </c>
      <c r="O465" s="7">
        <f t="shared" si="42"/>
        <v>0.75790744278163857</v>
      </c>
      <c r="P465" s="9">
        <f t="shared" si="47"/>
        <v>71.977279563222041</v>
      </c>
      <c r="Q465" s="7">
        <f t="shared" si="43"/>
        <v>0.21578324407308011</v>
      </c>
      <c r="R465" s="9">
        <f t="shared" si="44"/>
        <v>5.1373788919070315E-3</v>
      </c>
      <c r="V465">
        <v>74045</v>
      </c>
      <c r="W465">
        <v>13169</v>
      </c>
      <c r="Y465">
        <v>219017</v>
      </c>
      <c r="Z465">
        <v>196001</v>
      </c>
      <c r="AB465">
        <v>36826</v>
      </c>
      <c r="AC465">
        <v>129346</v>
      </c>
    </row>
    <row r="466" spans="1:29" x14ac:dyDescent="0.3">
      <c r="A466" t="s">
        <v>476</v>
      </c>
      <c r="B466" t="s">
        <v>516</v>
      </c>
      <c r="C466">
        <v>2023</v>
      </c>
      <c r="D466" s="2">
        <v>74045</v>
      </c>
      <c r="E466" s="2">
        <v>60876</v>
      </c>
      <c r="F466" s="2">
        <v>13169</v>
      </c>
      <c r="G466" s="2">
        <v>125615</v>
      </c>
      <c r="H466" s="2">
        <v>66919</v>
      </c>
      <c r="I466" s="2">
        <v>58696</v>
      </c>
      <c r="J466" s="2">
        <v>55559</v>
      </c>
      <c r="K466" s="2">
        <v>6206751</v>
      </c>
      <c r="L466" s="2">
        <v>3953692</v>
      </c>
      <c r="M466" s="2">
        <f t="shared" si="45"/>
        <v>14809</v>
      </c>
      <c r="N466" s="2">
        <f t="shared" si="46"/>
        <v>2633.8</v>
      </c>
      <c r="O466" s="7">
        <f t="shared" si="42"/>
        <v>0.44229590415157427</v>
      </c>
      <c r="P466" s="9">
        <f t="shared" si="47"/>
        <v>63.699864872942378</v>
      </c>
      <c r="Q466" s="7">
        <f t="shared" si="43"/>
        <v>0.53273096365879868</v>
      </c>
      <c r="R466" s="9">
        <f t="shared" si="44"/>
        <v>2.1217219766025736E-3</v>
      </c>
      <c r="V466">
        <v>186917</v>
      </c>
      <c r="W466">
        <v>140243</v>
      </c>
      <c r="Y466">
        <v>170662</v>
      </c>
      <c r="Z466">
        <v>133836</v>
      </c>
      <c r="AB466">
        <v>66919</v>
      </c>
      <c r="AC466">
        <v>55559</v>
      </c>
    </row>
    <row r="467" spans="1:29" x14ac:dyDescent="0.3">
      <c r="A467" t="s">
        <v>477</v>
      </c>
      <c r="B467" t="s">
        <v>516</v>
      </c>
      <c r="C467">
        <v>2023</v>
      </c>
      <c r="D467" s="2">
        <v>186917</v>
      </c>
      <c r="E467" s="2">
        <v>46674</v>
      </c>
      <c r="F467" s="2">
        <v>140243</v>
      </c>
      <c r="G467" s="2">
        <v>179580</v>
      </c>
      <c r="H467" s="2">
        <v>37313</v>
      </c>
      <c r="I467" s="2">
        <v>142267</v>
      </c>
      <c r="J467" s="2">
        <v>127854</v>
      </c>
      <c r="K467" s="2">
        <v>18944783</v>
      </c>
      <c r="L467" s="2">
        <v>8910184</v>
      </c>
      <c r="M467" s="2">
        <f t="shared" si="45"/>
        <v>37383.4</v>
      </c>
      <c r="N467" s="2">
        <f t="shared" si="46"/>
        <v>28048.6</v>
      </c>
      <c r="O467" s="7">
        <f t="shared" si="42"/>
        <v>0.71196124290010021</v>
      </c>
      <c r="P467" s="9">
        <f t="shared" si="47"/>
        <v>47.032388811209927</v>
      </c>
      <c r="Q467" s="7">
        <f t="shared" si="43"/>
        <v>0.20777926272413408</v>
      </c>
      <c r="R467" s="9">
        <f t="shared" si="44"/>
        <v>7.4027240111433313E-3</v>
      </c>
      <c r="V467">
        <v>102887</v>
      </c>
      <c r="W467">
        <v>43040</v>
      </c>
      <c r="Y467">
        <v>125615</v>
      </c>
      <c r="Z467">
        <v>58696</v>
      </c>
      <c r="AB467">
        <v>37313</v>
      </c>
      <c r="AC467">
        <v>127854</v>
      </c>
    </row>
    <row r="468" spans="1:29" x14ac:dyDescent="0.3">
      <c r="A468" t="s">
        <v>478</v>
      </c>
      <c r="B468" t="s">
        <v>516</v>
      </c>
      <c r="C468">
        <v>2023</v>
      </c>
      <c r="D468" s="2">
        <v>102887</v>
      </c>
      <c r="E468" s="2">
        <v>59847</v>
      </c>
      <c r="F468" s="2">
        <v>43040</v>
      </c>
      <c r="G468" s="2">
        <v>121693</v>
      </c>
      <c r="H468" s="2">
        <v>71622</v>
      </c>
      <c r="I468" s="2">
        <v>50071</v>
      </c>
      <c r="J468" s="2">
        <v>35765</v>
      </c>
      <c r="K468" s="2">
        <v>11151537</v>
      </c>
      <c r="L468" s="2">
        <v>7466951</v>
      </c>
      <c r="M468" s="2">
        <f t="shared" si="45"/>
        <v>20577.400000000001</v>
      </c>
      <c r="N468" s="2">
        <f t="shared" si="46"/>
        <v>8608</v>
      </c>
      <c r="O468" s="7">
        <f t="shared" si="42"/>
        <v>0.2938952938952939</v>
      </c>
      <c r="P468" s="9">
        <f t="shared" si="47"/>
        <v>66.958940278815376</v>
      </c>
      <c r="Q468" s="7">
        <f t="shared" si="43"/>
        <v>0.58854658854658859</v>
      </c>
      <c r="R468" s="9">
        <f t="shared" si="44"/>
        <v>3.8595576555949195E-3</v>
      </c>
      <c r="V468">
        <v>134761</v>
      </c>
      <c r="W468">
        <v>87785</v>
      </c>
      <c r="Y468">
        <v>179580</v>
      </c>
      <c r="Z468">
        <v>142267</v>
      </c>
      <c r="AB468">
        <v>71622</v>
      </c>
      <c r="AC468">
        <v>35765</v>
      </c>
    </row>
    <row r="469" spans="1:29" x14ac:dyDescent="0.3">
      <c r="A469" t="s">
        <v>479</v>
      </c>
      <c r="B469" t="s">
        <v>516</v>
      </c>
      <c r="C469">
        <v>2023</v>
      </c>
      <c r="D469" s="2">
        <v>134761</v>
      </c>
      <c r="E469" s="2">
        <v>46976</v>
      </c>
      <c r="F469" s="2">
        <v>87785</v>
      </c>
      <c r="G469" s="2">
        <v>119375</v>
      </c>
      <c r="H469" s="2">
        <v>25886</v>
      </c>
      <c r="I469" s="2">
        <v>93489</v>
      </c>
      <c r="J469" s="2">
        <v>78623</v>
      </c>
      <c r="K469" s="2">
        <v>13326435</v>
      </c>
      <c r="L469" s="2">
        <v>12076760</v>
      </c>
      <c r="M469" s="2">
        <f t="shared" si="45"/>
        <v>26952.2</v>
      </c>
      <c r="N469" s="2">
        <f t="shared" si="46"/>
        <v>17557</v>
      </c>
      <c r="O469" s="7">
        <f t="shared" si="42"/>
        <v>0.6586219895287958</v>
      </c>
      <c r="P469" s="9">
        <f t="shared" si="47"/>
        <v>90.622585860359507</v>
      </c>
      <c r="Q469" s="7">
        <f t="shared" si="43"/>
        <v>0.21684607329842931</v>
      </c>
      <c r="R469" s="9">
        <f t="shared" si="44"/>
        <v>6.5872830955915817E-3</v>
      </c>
      <c r="V469">
        <v>190836</v>
      </c>
      <c r="W469">
        <v>138109</v>
      </c>
      <c r="Y469">
        <v>121693</v>
      </c>
      <c r="Z469">
        <v>50071</v>
      </c>
      <c r="AB469">
        <v>25886</v>
      </c>
      <c r="AC469">
        <v>78623</v>
      </c>
    </row>
    <row r="470" spans="1:29" x14ac:dyDescent="0.3">
      <c r="A470" t="s">
        <v>480</v>
      </c>
      <c r="B470" t="s">
        <v>516</v>
      </c>
      <c r="C470">
        <v>2023</v>
      </c>
      <c r="D470" s="2">
        <v>190836</v>
      </c>
      <c r="E470" s="2">
        <v>52727</v>
      </c>
      <c r="F470" s="2">
        <v>138109</v>
      </c>
      <c r="G470" s="2">
        <v>236580</v>
      </c>
      <c r="H470" s="2">
        <v>23068</v>
      </c>
      <c r="I470" s="2">
        <v>213512</v>
      </c>
      <c r="J470" s="2">
        <v>204217</v>
      </c>
      <c r="K470" s="2">
        <v>7531528</v>
      </c>
      <c r="L470" s="2">
        <v>5108542</v>
      </c>
      <c r="M470" s="2">
        <f t="shared" si="45"/>
        <v>38167.199999999997</v>
      </c>
      <c r="N470" s="2">
        <f t="shared" si="46"/>
        <v>27621.8</v>
      </c>
      <c r="O470" s="7">
        <f t="shared" si="42"/>
        <v>0.86320483557359029</v>
      </c>
      <c r="P470" s="9">
        <f t="shared" si="47"/>
        <v>67.828759316834507</v>
      </c>
      <c r="Q470" s="7">
        <f t="shared" si="43"/>
        <v>9.7506129004987743E-2</v>
      </c>
      <c r="R470" s="9">
        <f t="shared" si="44"/>
        <v>1.8337447593635713E-2</v>
      </c>
      <c r="V470">
        <v>156752</v>
      </c>
      <c r="W470">
        <v>126621</v>
      </c>
      <c r="Y470">
        <v>119375</v>
      </c>
      <c r="Z470">
        <v>93489</v>
      </c>
      <c r="AB470">
        <v>23068</v>
      </c>
      <c r="AC470">
        <v>204217</v>
      </c>
    </row>
    <row r="471" spans="1:29" x14ac:dyDescent="0.3">
      <c r="A471" t="s">
        <v>481</v>
      </c>
      <c r="B471" t="s">
        <v>516</v>
      </c>
      <c r="C471">
        <v>2023</v>
      </c>
      <c r="D471" s="2">
        <v>156752</v>
      </c>
      <c r="E471" s="2">
        <v>30131</v>
      </c>
      <c r="F471" s="2">
        <v>126621</v>
      </c>
      <c r="G471" s="2">
        <v>241375</v>
      </c>
      <c r="H471" s="2">
        <v>90969</v>
      </c>
      <c r="I471" s="2">
        <v>150406</v>
      </c>
      <c r="J471" s="2">
        <v>133368</v>
      </c>
      <c r="K471" s="2">
        <v>16455591</v>
      </c>
      <c r="L471" s="2">
        <v>5846230</v>
      </c>
      <c r="M471" s="2">
        <f t="shared" si="45"/>
        <v>31350.400000000001</v>
      </c>
      <c r="N471" s="2">
        <f t="shared" si="46"/>
        <v>25324.2</v>
      </c>
      <c r="O471" s="7">
        <f t="shared" si="42"/>
        <v>0.55253443811496639</v>
      </c>
      <c r="P471" s="9">
        <f t="shared" si="47"/>
        <v>35.527317128871275</v>
      </c>
      <c r="Q471" s="7">
        <f t="shared" si="43"/>
        <v>0.37687830139823925</v>
      </c>
      <c r="R471" s="9">
        <f t="shared" si="44"/>
        <v>7.6947099621034578E-3</v>
      </c>
      <c r="V471">
        <v>127064</v>
      </c>
      <c r="W471">
        <v>95783</v>
      </c>
      <c r="Y471">
        <v>236580</v>
      </c>
      <c r="Z471">
        <v>213512</v>
      </c>
      <c r="AB471">
        <v>90969</v>
      </c>
      <c r="AC471">
        <v>133368</v>
      </c>
    </row>
    <row r="472" spans="1:29" x14ac:dyDescent="0.3">
      <c r="A472" t="s">
        <v>482</v>
      </c>
      <c r="B472" t="s">
        <v>516</v>
      </c>
      <c r="C472">
        <v>2023</v>
      </c>
      <c r="D472" s="2">
        <v>127064</v>
      </c>
      <c r="E472" s="2">
        <v>31281</v>
      </c>
      <c r="F472" s="2">
        <v>95783</v>
      </c>
      <c r="G472" s="2">
        <v>169972</v>
      </c>
      <c r="H472" s="2">
        <v>63511</v>
      </c>
      <c r="I472" s="2">
        <v>106461</v>
      </c>
      <c r="J472" s="2">
        <v>95856</v>
      </c>
      <c r="K472" s="2">
        <v>9556766</v>
      </c>
      <c r="L472" s="2">
        <v>9227018</v>
      </c>
      <c r="M472" s="2">
        <f t="shared" si="45"/>
        <v>25412.799999999999</v>
      </c>
      <c r="N472" s="2">
        <f t="shared" si="46"/>
        <v>19156.599999999999</v>
      </c>
      <c r="O472" s="7">
        <f t="shared" si="42"/>
        <v>0.56395170969336128</v>
      </c>
      <c r="P472" s="9">
        <f t="shared" si="47"/>
        <v>96.549585916407281</v>
      </c>
      <c r="Q472" s="7">
        <f t="shared" si="43"/>
        <v>0.37365566093238889</v>
      </c>
      <c r="R472" s="9">
        <f t="shared" si="44"/>
        <v>1.0022532727075246E-2</v>
      </c>
      <c r="V472">
        <v>69810</v>
      </c>
      <c r="W472">
        <v>35488</v>
      </c>
      <c r="Y472">
        <v>241375</v>
      </c>
      <c r="Z472">
        <v>150406</v>
      </c>
      <c r="AB472">
        <v>63511</v>
      </c>
      <c r="AC472">
        <v>95856</v>
      </c>
    </row>
    <row r="473" spans="1:29" x14ac:dyDescent="0.3">
      <c r="A473" t="s">
        <v>483</v>
      </c>
      <c r="B473" t="s">
        <v>516</v>
      </c>
      <c r="C473">
        <v>2023</v>
      </c>
      <c r="D473" s="2">
        <v>69810</v>
      </c>
      <c r="E473" s="2">
        <v>34322</v>
      </c>
      <c r="F473" s="2">
        <v>35488</v>
      </c>
      <c r="G473" s="2">
        <v>97357</v>
      </c>
      <c r="H473" s="2">
        <v>47955</v>
      </c>
      <c r="I473" s="2">
        <v>49402</v>
      </c>
      <c r="J473" s="2">
        <v>35454</v>
      </c>
      <c r="K473" s="2">
        <v>15495967</v>
      </c>
      <c r="L473" s="2">
        <v>11607009</v>
      </c>
      <c r="M473" s="2">
        <f t="shared" si="45"/>
        <v>13962</v>
      </c>
      <c r="N473" s="2">
        <f t="shared" si="46"/>
        <v>7097.6</v>
      </c>
      <c r="O473" s="7">
        <f t="shared" si="42"/>
        <v>0.36416487771808909</v>
      </c>
      <c r="P473" s="9">
        <f t="shared" si="47"/>
        <v>74.903418418482687</v>
      </c>
      <c r="Q473" s="7">
        <f t="shared" si="43"/>
        <v>0.49256858777489038</v>
      </c>
      <c r="R473" s="9">
        <f t="shared" si="44"/>
        <v>2.2901442678601473E-3</v>
      </c>
      <c r="V473">
        <v>72031</v>
      </c>
      <c r="W473">
        <v>2265</v>
      </c>
      <c r="Y473">
        <v>169972</v>
      </c>
      <c r="Z473">
        <v>106461</v>
      </c>
      <c r="AB473">
        <v>47955</v>
      </c>
      <c r="AC473">
        <v>35454</v>
      </c>
    </row>
    <row r="474" spans="1:29" x14ac:dyDescent="0.3">
      <c r="A474" t="s">
        <v>484</v>
      </c>
      <c r="B474" t="s">
        <v>516</v>
      </c>
      <c r="C474">
        <v>2023</v>
      </c>
      <c r="D474" s="2">
        <v>72031</v>
      </c>
      <c r="E474" s="2">
        <v>69766</v>
      </c>
      <c r="F474" s="2">
        <v>2265</v>
      </c>
      <c r="G474" s="2">
        <v>34714</v>
      </c>
      <c r="H474" s="2">
        <v>71699</v>
      </c>
      <c r="I474" s="2">
        <v>-36985</v>
      </c>
      <c r="J474" s="2">
        <v>-46808</v>
      </c>
      <c r="K474" s="2">
        <v>12290213</v>
      </c>
      <c r="L474" s="2">
        <v>5857281</v>
      </c>
      <c r="M474" s="2">
        <f t="shared" si="45"/>
        <v>14406.2</v>
      </c>
      <c r="N474" s="2">
        <f t="shared" si="46"/>
        <v>453</v>
      </c>
      <c r="O474" s="7">
        <f t="shared" si="42"/>
        <v>-1.3483896986806476</v>
      </c>
      <c r="P474" s="9">
        <f t="shared" si="47"/>
        <v>47.658091849181133</v>
      </c>
      <c r="Q474" s="7">
        <f t="shared" si="43"/>
        <v>2.065420291525033</v>
      </c>
      <c r="R474" s="9">
        <f t="shared" si="44"/>
        <v>1.8429298174083719E-4</v>
      </c>
      <c r="V474">
        <v>161041</v>
      </c>
      <c r="W474">
        <v>104949</v>
      </c>
      <c r="Y474">
        <v>97357</v>
      </c>
      <c r="Z474">
        <v>49402</v>
      </c>
      <c r="AB474">
        <v>71699</v>
      </c>
      <c r="AC474">
        <v>-46808</v>
      </c>
    </row>
    <row r="475" spans="1:29" x14ac:dyDescent="0.3">
      <c r="A475" t="s">
        <v>485</v>
      </c>
      <c r="B475" t="s">
        <v>516</v>
      </c>
      <c r="C475">
        <v>2023</v>
      </c>
      <c r="D475" s="2">
        <v>161041</v>
      </c>
      <c r="E475" s="2">
        <v>56092</v>
      </c>
      <c r="F475" s="2">
        <v>104949</v>
      </c>
      <c r="G475" s="2">
        <v>188620</v>
      </c>
      <c r="H475" s="2">
        <v>25350</v>
      </c>
      <c r="I475" s="2">
        <v>163270</v>
      </c>
      <c r="J475" s="2">
        <v>158715</v>
      </c>
      <c r="K475" s="2">
        <v>5513313</v>
      </c>
      <c r="L475" s="2">
        <v>14602823</v>
      </c>
      <c r="M475" s="2">
        <f t="shared" si="45"/>
        <v>32208.2</v>
      </c>
      <c r="N475" s="2">
        <f t="shared" si="46"/>
        <v>20989.8</v>
      </c>
      <c r="O475" s="7">
        <f t="shared" si="42"/>
        <v>0.84145371646697065</v>
      </c>
      <c r="P475" s="9">
        <f t="shared" si="47"/>
        <v>264.86475554716378</v>
      </c>
      <c r="Q475" s="7">
        <f t="shared" si="43"/>
        <v>0.1343972007210264</v>
      </c>
      <c r="R475" s="9">
        <f t="shared" si="44"/>
        <v>1.9035559925583763E-2</v>
      </c>
      <c r="V475">
        <v>198694</v>
      </c>
      <c r="W475">
        <v>135577</v>
      </c>
      <c r="Y475">
        <v>34714</v>
      </c>
      <c r="Z475">
        <v>-36985</v>
      </c>
      <c r="AB475">
        <v>25350</v>
      </c>
      <c r="AC475">
        <v>158715</v>
      </c>
    </row>
    <row r="476" spans="1:29" x14ac:dyDescent="0.3">
      <c r="A476" t="s">
        <v>486</v>
      </c>
      <c r="B476" t="s">
        <v>516</v>
      </c>
      <c r="C476">
        <v>2023</v>
      </c>
      <c r="D476" s="2">
        <v>198694</v>
      </c>
      <c r="E476" s="2">
        <v>63117</v>
      </c>
      <c r="F476" s="2">
        <v>135577</v>
      </c>
      <c r="G476" s="2">
        <v>213971</v>
      </c>
      <c r="H476" s="2">
        <v>38782</v>
      </c>
      <c r="I476" s="2">
        <v>175189</v>
      </c>
      <c r="J476" s="2">
        <v>155217</v>
      </c>
      <c r="K476" s="2">
        <v>15252070</v>
      </c>
      <c r="L476" s="2">
        <v>12042832</v>
      </c>
      <c r="M476" s="2">
        <f t="shared" si="45"/>
        <v>39738.800000000003</v>
      </c>
      <c r="N476" s="2">
        <f t="shared" si="46"/>
        <v>27115.4</v>
      </c>
      <c r="O476" s="7">
        <f t="shared" si="42"/>
        <v>0.72541138752447765</v>
      </c>
      <c r="P476" s="9">
        <f t="shared" si="47"/>
        <v>78.958672494946597</v>
      </c>
      <c r="Q476" s="7">
        <f t="shared" si="43"/>
        <v>0.1812488608269345</v>
      </c>
      <c r="R476" s="9">
        <f t="shared" si="44"/>
        <v>8.8890884974957493E-3</v>
      </c>
      <c r="V476">
        <v>196664</v>
      </c>
      <c r="W476">
        <v>164491</v>
      </c>
      <c r="Y476">
        <v>188620</v>
      </c>
      <c r="Z476">
        <v>163270</v>
      </c>
      <c r="AB476">
        <v>38782</v>
      </c>
      <c r="AC476">
        <v>155217</v>
      </c>
    </row>
    <row r="477" spans="1:29" x14ac:dyDescent="0.3">
      <c r="A477" t="s">
        <v>487</v>
      </c>
      <c r="B477" t="s">
        <v>516</v>
      </c>
      <c r="C477">
        <v>2023</v>
      </c>
      <c r="D477" s="2">
        <v>196664</v>
      </c>
      <c r="E477" s="2">
        <v>32173</v>
      </c>
      <c r="F477" s="2">
        <v>164491</v>
      </c>
      <c r="G477" s="2">
        <v>217695</v>
      </c>
      <c r="H477" s="2">
        <v>50596</v>
      </c>
      <c r="I477" s="2">
        <v>167099</v>
      </c>
      <c r="J477" s="2">
        <v>163543</v>
      </c>
      <c r="K477" s="2">
        <v>15073140</v>
      </c>
      <c r="L477" s="2">
        <v>11843026</v>
      </c>
      <c r="M477" s="2">
        <f t="shared" si="45"/>
        <v>39332.800000000003</v>
      </c>
      <c r="N477" s="2">
        <f t="shared" si="46"/>
        <v>32898.199999999997</v>
      </c>
      <c r="O477" s="7">
        <f t="shared" si="42"/>
        <v>0.7512483061163554</v>
      </c>
      <c r="P477" s="9">
        <f t="shared" si="47"/>
        <v>78.57039740890086</v>
      </c>
      <c r="Q477" s="7">
        <f t="shared" si="43"/>
        <v>0.23241691357174027</v>
      </c>
      <c r="R477" s="9">
        <f t="shared" si="44"/>
        <v>1.0912855582844716E-2</v>
      </c>
      <c r="V477">
        <v>174184</v>
      </c>
      <c r="W477">
        <v>133434</v>
      </c>
      <c r="Y477">
        <v>213971</v>
      </c>
      <c r="Z477">
        <v>175189</v>
      </c>
      <c r="AB477">
        <v>50596</v>
      </c>
      <c r="AC477">
        <v>163543</v>
      </c>
    </row>
    <row r="478" spans="1:29" x14ac:dyDescent="0.3">
      <c r="A478" t="s">
        <v>488</v>
      </c>
      <c r="B478" t="s">
        <v>516</v>
      </c>
      <c r="C478">
        <v>2023</v>
      </c>
      <c r="D478" s="2">
        <v>174184</v>
      </c>
      <c r="E478" s="2">
        <v>40750</v>
      </c>
      <c r="F478" s="2">
        <v>133434</v>
      </c>
      <c r="G478" s="2">
        <v>229546</v>
      </c>
      <c r="H478" s="2">
        <v>31566</v>
      </c>
      <c r="I478" s="2">
        <v>197980</v>
      </c>
      <c r="J478" s="2">
        <v>188790</v>
      </c>
      <c r="K478" s="2">
        <v>5562621</v>
      </c>
      <c r="L478" s="2">
        <v>6529801</v>
      </c>
      <c r="M478" s="2">
        <f t="shared" si="45"/>
        <v>34836.800000000003</v>
      </c>
      <c r="N478" s="2">
        <f t="shared" si="46"/>
        <v>26686.799999999999</v>
      </c>
      <c r="O478" s="7">
        <f t="shared" si="42"/>
        <v>0.8224495308129961</v>
      </c>
      <c r="P478" s="9">
        <f t="shared" si="47"/>
        <v>117.38712739911634</v>
      </c>
      <c r="Q478" s="7">
        <f t="shared" si="43"/>
        <v>0.13751492075662394</v>
      </c>
      <c r="R478" s="9">
        <f t="shared" si="44"/>
        <v>2.3987613033496259E-2</v>
      </c>
      <c r="V478">
        <v>139571</v>
      </c>
      <c r="W478">
        <v>127982</v>
      </c>
      <c r="Y478">
        <v>217695</v>
      </c>
      <c r="Z478">
        <v>167099</v>
      </c>
      <c r="AB478">
        <v>31566</v>
      </c>
      <c r="AC478">
        <v>188790</v>
      </c>
    </row>
    <row r="479" spans="1:29" x14ac:dyDescent="0.3">
      <c r="A479" t="s">
        <v>489</v>
      </c>
      <c r="B479" t="s">
        <v>516</v>
      </c>
      <c r="C479">
        <v>2023</v>
      </c>
      <c r="D479" s="2">
        <v>139571</v>
      </c>
      <c r="E479" s="2">
        <v>11589</v>
      </c>
      <c r="F479" s="2">
        <v>127982</v>
      </c>
      <c r="G479" s="2">
        <v>173217</v>
      </c>
      <c r="H479" s="2">
        <v>15159</v>
      </c>
      <c r="I479" s="2">
        <v>158058</v>
      </c>
      <c r="J479" s="2">
        <v>143913</v>
      </c>
      <c r="K479" s="2">
        <v>14600177</v>
      </c>
      <c r="L479" s="2">
        <v>4195885</v>
      </c>
      <c r="M479" s="2">
        <f t="shared" si="45"/>
        <v>27914.2</v>
      </c>
      <c r="N479" s="2">
        <f t="shared" si="46"/>
        <v>25596.400000000001</v>
      </c>
      <c r="O479" s="7">
        <f t="shared" si="42"/>
        <v>0.83082491903219657</v>
      </c>
      <c r="P479" s="9">
        <f t="shared" si="47"/>
        <v>28.738589949971153</v>
      </c>
      <c r="Q479" s="7">
        <f t="shared" si="43"/>
        <v>8.7514504927345471E-2</v>
      </c>
      <c r="R479" s="9">
        <f t="shared" si="44"/>
        <v>8.7657841408361001E-3</v>
      </c>
      <c r="V479">
        <v>157507</v>
      </c>
      <c r="W479">
        <v>139263</v>
      </c>
      <c r="Y479">
        <v>229546</v>
      </c>
      <c r="Z479">
        <v>197980</v>
      </c>
      <c r="AB479">
        <v>15159</v>
      </c>
      <c r="AC479">
        <v>143913</v>
      </c>
    </row>
    <row r="480" spans="1:29" x14ac:dyDescent="0.3">
      <c r="A480" t="s">
        <v>490</v>
      </c>
      <c r="B480" t="s">
        <v>516</v>
      </c>
      <c r="C480">
        <v>2023</v>
      </c>
      <c r="D480" s="2">
        <v>157507</v>
      </c>
      <c r="E480" s="2">
        <v>18244</v>
      </c>
      <c r="F480" s="2">
        <v>139263</v>
      </c>
      <c r="G480" s="2">
        <v>174006</v>
      </c>
      <c r="H480" s="2">
        <v>61101</v>
      </c>
      <c r="I480" s="2">
        <v>112905</v>
      </c>
      <c r="J480" s="2">
        <v>97564</v>
      </c>
      <c r="K480" s="2">
        <v>7742974</v>
      </c>
      <c r="L480" s="2">
        <v>14880707</v>
      </c>
      <c r="M480" s="2">
        <f t="shared" si="45"/>
        <v>31501.4</v>
      </c>
      <c r="N480" s="2">
        <f t="shared" si="46"/>
        <v>27852.6</v>
      </c>
      <c r="O480" s="7">
        <f t="shared" si="42"/>
        <v>0.56069330942611173</v>
      </c>
      <c r="P480" s="9">
        <f t="shared" si="47"/>
        <v>192.18335228815181</v>
      </c>
      <c r="Q480" s="7">
        <f t="shared" si="43"/>
        <v>0.35114306403227474</v>
      </c>
      <c r="R480" s="9">
        <f t="shared" si="44"/>
        <v>1.7985724864890414E-2</v>
      </c>
      <c r="V480">
        <v>121126</v>
      </c>
      <c r="W480">
        <v>55055</v>
      </c>
      <c r="Y480">
        <v>173217</v>
      </c>
      <c r="Z480">
        <v>158058</v>
      </c>
      <c r="AB480">
        <v>61101</v>
      </c>
      <c r="AC480">
        <v>97564</v>
      </c>
    </row>
    <row r="481" spans="1:29" x14ac:dyDescent="0.3">
      <c r="A481" t="s">
        <v>491</v>
      </c>
      <c r="B481" t="s">
        <v>516</v>
      </c>
      <c r="C481">
        <v>2023</v>
      </c>
      <c r="D481" s="2">
        <v>121126</v>
      </c>
      <c r="E481" s="2">
        <v>66071</v>
      </c>
      <c r="F481" s="2">
        <v>55055</v>
      </c>
      <c r="G481" s="2">
        <v>146176</v>
      </c>
      <c r="H481" s="2">
        <v>89763</v>
      </c>
      <c r="I481" s="2">
        <v>56413</v>
      </c>
      <c r="J481" s="2">
        <v>48367</v>
      </c>
      <c r="K481" s="2">
        <v>17988365</v>
      </c>
      <c r="L481" s="2">
        <v>7363089</v>
      </c>
      <c r="M481" s="2">
        <f t="shared" si="45"/>
        <v>24225.200000000001</v>
      </c>
      <c r="N481" s="2">
        <f t="shared" si="46"/>
        <v>11011</v>
      </c>
      <c r="O481" s="7">
        <f t="shared" si="42"/>
        <v>0.33088195052539404</v>
      </c>
      <c r="P481" s="9">
        <f t="shared" si="47"/>
        <v>40.932508318571479</v>
      </c>
      <c r="Q481" s="7">
        <f t="shared" si="43"/>
        <v>0.61407481392294216</v>
      </c>
      <c r="R481" s="9">
        <f t="shared" si="44"/>
        <v>3.0605894421199481E-3</v>
      </c>
      <c r="V481">
        <v>96154</v>
      </c>
      <c r="W481">
        <v>79138</v>
      </c>
      <c r="Y481">
        <v>174006</v>
      </c>
      <c r="Z481">
        <v>112905</v>
      </c>
      <c r="AB481">
        <v>89763</v>
      </c>
      <c r="AC481">
        <v>48367</v>
      </c>
    </row>
    <row r="482" spans="1:29" x14ac:dyDescent="0.3">
      <c r="A482" t="s">
        <v>492</v>
      </c>
      <c r="B482" t="s">
        <v>516</v>
      </c>
      <c r="C482">
        <v>2024</v>
      </c>
      <c r="D482" s="2">
        <v>96154</v>
      </c>
      <c r="E482" s="2">
        <v>17016</v>
      </c>
      <c r="F482" s="2">
        <v>79138</v>
      </c>
      <c r="G482" s="2">
        <v>178701</v>
      </c>
      <c r="H482" s="2">
        <v>63688</v>
      </c>
      <c r="I482" s="2">
        <v>115013</v>
      </c>
      <c r="J482" s="2">
        <v>99261</v>
      </c>
      <c r="K482" s="2">
        <v>5578526</v>
      </c>
      <c r="L482" s="2">
        <v>9612208</v>
      </c>
      <c r="M482" s="2">
        <f t="shared" si="45"/>
        <v>19230.8</v>
      </c>
      <c r="N482" s="2">
        <f t="shared" si="46"/>
        <v>15827.6</v>
      </c>
      <c r="O482" s="7">
        <f t="shared" si="42"/>
        <v>0.55545855926939414</v>
      </c>
      <c r="P482" s="9">
        <f t="shared" si="47"/>
        <v>172.30730841803015</v>
      </c>
      <c r="Q482" s="7">
        <f t="shared" si="43"/>
        <v>0.35639420036821284</v>
      </c>
      <c r="R482" s="9">
        <f t="shared" si="44"/>
        <v>1.4186184665985244E-2</v>
      </c>
      <c r="V482">
        <v>139081</v>
      </c>
      <c r="W482">
        <v>97184</v>
      </c>
      <c r="Y482">
        <v>146176</v>
      </c>
      <c r="Z482">
        <v>56413</v>
      </c>
      <c r="AB482">
        <v>63688</v>
      </c>
      <c r="AC482">
        <v>99261</v>
      </c>
    </row>
    <row r="483" spans="1:29" x14ac:dyDescent="0.3">
      <c r="A483" t="s">
        <v>493</v>
      </c>
      <c r="B483" t="s">
        <v>516</v>
      </c>
      <c r="C483">
        <v>2024</v>
      </c>
      <c r="D483" s="2">
        <v>139081</v>
      </c>
      <c r="E483" s="2">
        <v>41897</v>
      </c>
      <c r="F483" s="2">
        <v>97184</v>
      </c>
      <c r="G483" s="2">
        <v>168145</v>
      </c>
      <c r="H483" s="2">
        <v>83703</v>
      </c>
      <c r="I483" s="2">
        <v>84442</v>
      </c>
      <c r="J483" s="2">
        <v>70453</v>
      </c>
      <c r="K483" s="2">
        <v>10134544</v>
      </c>
      <c r="L483" s="2">
        <v>3814422</v>
      </c>
      <c r="M483" s="2">
        <f t="shared" si="45"/>
        <v>27816.2</v>
      </c>
      <c r="N483" s="2">
        <f t="shared" si="46"/>
        <v>19436.8</v>
      </c>
      <c r="O483" s="7">
        <f t="shared" si="42"/>
        <v>0.41900145707573822</v>
      </c>
      <c r="P483" s="9">
        <f t="shared" si="47"/>
        <v>37.637825638726319</v>
      </c>
      <c r="Q483" s="7">
        <f t="shared" si="43"/>
        <v>0.4978024918968747</v>
      </c>
      <c r="R483" s="9">
        <f t="shared" si="44"/>
        <v>9.5893806371554549E-3</v>
      </c>
      <c r="V483">
        <v>112551</v>
      </c>
      <c r="W483">
        <v>44390</v>
      </c>
      <c r="Y483">
        <v>178701</v>
      </c>
      <c r="Z483">
        <v>115013</v>
      </c>
      <c r="AB483">
        <v>83703</v>
      </c>
      <c r="AC483">
        <v>70453</v>
      </c>
    </row>
    <row r="484" spans="1:29" x14ac:dyDescent="0.3">
      <c r="A484" t="s">
        <v>494</v>
      </c>
      <c r="B484" t="s">
        <v>516</v>
      </c>
      <c r="C484">
        <v>2024</v>
      </c>
      <c r="D484" s="2">
        <v>112551</v>
      </c>
      <c r="E484" s="2">
        <v>68161</v>
      </c>
      <c r="F484" s="2">
        <v>44390</v>
      </c>
      <c r="G484" s="2">
        <v>144013</v>
      </c>
      <c r="H484" s="2">
        <v>37440</v>
      </c>
      <c r="I484" s="2">
        <v>106573</v>
      </c>
      <c r="J484" s="2">
        <v>102136</v>
      </c>
      <c r="K484" s="2">
        <v>8135812</v>
      </c>
      <c r="L484" s="2">
        <v>14264888</v>
      </c>
      <c r="M484" s="2">
        <f t="shared" si="45"/>
        <v>22510.2</v>
      </c>
      <c r="N484" s="2">
        <f t="shared" si="46"/>
        <v>8878</v>
      </c>
      <c r="O484" s="7">
        <f t="shared" si="42"/>
        <v>0.7092137515363196</v>
      </c>
      <c r="P484" s="9">
        <f t="shared" si="47"/>
        <v>175.33453329550878</v>
      </c>
      <c r="Q484" s="7">
        <f t="shared" si="43"/>
        <v>0.25997652989660658</v>
      </c>
      <c r="R484" s="9">
        <f t="shared" si="44"/>
        <v>5.4561241090625E-3</v>
      </c>
      <c r="V484">
        <v>105103</v>
      </c>
      <c r="W484">
        <v>53476</v>
      </c>
      <c r="Y484">
        <v>168145</v>
      </c>
      <c r="Z484">
        <v>84442</v>
      </c>
      <c r="AB484">
        <v>37440</v>
      </c>
      <c r="AC484">
        <v>102136</v>
      </c>
    </row>
    <row r="485" spans="1:29" x14ac:dyDescent="0.3">
      <c r="A485" t="s">
        <v>495</v>
      </c>
      <c r="B485" t="s">
        <v>516</v>
      </c>
      <c r="C485">
        <v>2024</v>
      </c>
      <c r="D485" s="2">
        <v>105103</v>
      </c>
      <c r="E485" s="2">
        <v>51627</v>
      </c>
      <c r="F485" s="2">
        <v>53476</v>
      </c>
      <c r="G485" s="2">
        <v>92484</v>
      </c>
      <c r="H485" s="2">
        <v>86274</v>
      </c>
      <c r="I485" s="2">
        <v>6210</v>
      </c>
      <c r="J485" s="2">
        <v>-1583</v>
      </c>
      <c r="K485" s="2">
        <v>8641771</v>
      </c>
      <c r="L485" s="2">
        <v>9428099</v>
      </c>
      <c r="M485" s="2">
        <f t="shared" si="45"/>
        <v>21020.6</v>
      </c>
      <c r="N485" s="2">
        <f t="shared" si="46"/>
        <v>10695.2</v>
      </c>
      <c r="O485" s="7">
        <f t="shared" si="42"/>
        <v>-1.7116474200942866E-2</v>
      </c>
      <c r="P485" s="9">
        <f t="shared" si="47"/>
        <v>109.09915340269951</v>
      </c>
      <c r="Q485" s="7">
        <f t="shared" si="43"/>
        <v>0.93285325029194244</v>
      </c>
      <c r="R485" s="9">
        <f t="shared" si="44"/>
        <v>6.1880834379897361E-3</v>
      </c>
      <c r="V485">
        <v>197281</v>
      </c>
      <c r="W485">
        <v>144133</v>
      </c>
      <c r="Y485">
        <v>144013</v>
      </c>
      <c r="Z485">
        <v>106573</v>
      </c>
      <c r="AB485">
        <v>86274</v>
      </c>
      <c r="AC485">
        <v>-1583</v>
      </c>
    </row>
    <row r="486" spans="1:29" x14ac:dyDescent="0.3">
      <c r="A486" t="s">
        <v>496</v>
      </c>
      <c r="B486" t="s">
        <v>516</v>
      </c>
      <c r="C486">
        <v>2024</v>
      </c>
      <c r="D486" s="2">
        <v>197281</v>
      </c>
      <c r="E486" s="2">
        <v>53148</v>
      </c>
      <c r="F486" s="2">
        <v>144133</v>
      </c>
      <c r="G486" s="2">
        <v>255351</v>
      </c>
      <c r="H486" s="2">
        <v>17224</v>
      </c>
      <c r="I486" s="2">
        <v>238127</v>
      </c>
      <c r="J486" s="2">
        <v>227738</v>
      </c>
      <c r="K486" s="2">
        <v>14955951</v>
      </c>
      <c r="L486" s="2">
        <v>14714103</v>
      </c>
      <c r="M486" s="2">
        <f t="shared" si="45"/>
        <v>39456.199999999997</v>
      </c>
      <c r="N486" s="2">
        <f t="shared" si="46"/>
        <v>28826.6</v>
      </c>
      <c r="O486" s="7">
        <f t="shared" si="42"/>
        <v>0.89186257347729203</v>
      </c>
      <c r="P486" s="9">
        <f t="shared" si="47"/>
        <v>98.382931316102869</v>
      </c>
      <c r="Q486" s="7">
        <f t="shared" si="43"/>
        <v>6.7452251998229892E-2</v>
      </c>
      <c r="R486" s="9">
        <f t="shared" si="44"/>
        <v>9.6371671717833257E-3</v>
      </c>
      <c r="V486">
        <v>170779</v>
      </c>
      <c r="W486">
        <v>128338</v>
      </c>
      <c r="Y486">
        <v>92484</v>
      </c>
      <c r="Z486">
        <v>6210</v>
      </c>
      <c r="AB486">
        <v>17224</v>
      </c>
      <c r="AC486">
        <v>227738</v>
      </c>
    </row>
    <row r="487" spans="1:29" x14ac:dyDescent="0.3">
      <c r="A487" t="s">
        <v>497</v>
      </c>
      <c r="B487" t="s">
        <v>516</v>
      </c>
      <c r="C487">
        <v>2024</v>
      </c>
      <c r="D487" s="2">
        <v>170779</v>
      </c>
      <c r="E487" s="2">
        <v>42441</v>
      </c>
      <c r="F487" s="2">
        <v>128338</v>
      </c>
      <c r="G487" s="2">
        <v>187467</v>
      </c>
      <c r="H487" s="2">
        <v>77368</v>
      </c>
      <c r="I487" s="2">
        <v>110099</v>
      </c>
      <c r="J487" s="2">
        <v>96008</v>
      </c>
      <c r="K487" s="2">
        <v>7141912</v>
      </c>
      <c r="L487" s="2">
        <v>6144311</v>
      </c>
      <c r="M487" s="2">
        <f t="shared" si="45"/>
        <v>34155.800000000003</v>
      </c>
      <c r="N487" s="2">
        <f t="shared" si="46"/>
        <v>25667.599999999999</v>
      </c>
      <c r="O487" s="7">
        <f t="shared" si="42"/>
        <v>0.5121328020398257</v>
      </c>
      <c r="P487" s="9">
        <f t="shared" si="47"/>
        <v>86.031737719535045</v>
      </c>
      <c r="Q487" s="7">
        <f t="shared" si="43"/>
        <v>0.41270196887985616</v>
      </c>
      <c r="R487" s="9">
        <f t="shared" si="44"/>
        <v>1.7969697750406334E-2</v>
      </c>
      <c r="V487">
        <v>73478</v>
      </c>
      <c r="W487">
        <v>51298</v>
      </c>
      <c r="Y487">
        <v>255351</v>
      </c>
      <c r="Z487">
        <v>238127</v>
      </c>
      <c r="AB487">
        <v>77368</v>
      </c>
      <c r="AC487">
        <v>96008</v>
      </c>
    </row>
    <row r="488" spans="1:29" x14ac:dyDescent="0.3">
      <c r="A488" t="s">
        <v>498</v>
      </c>
      <c r="B488" t="s">
        <v>516</v>
      </c>
      <c r="C488">
        <v>2024</v>
      </c>
      <c r="D488" s="2">
        <v>73478</v>
      </c>
      <c r="E488" s="2">
        <v>22180</v>
      </c>
      <c r="F488" s="2">
        <v>51298</v>
      </c>
      <c r="G488" s="2">
        <v>169836</v>
      </c>
      <c r="H488" s="2">
        <v>30372</v>
      </c>
      <c r="I488" s="2">
        <v>139464</v>
      </c>
      <c r="J488" s="2">
        <v>136942</v>
      </c>
      <c r="K488" s="2">
        <v>11674192</v>
      </c>
      <c r="L488" s="2">
        <v>4404355</v>
      </c>
      <c r="M488" s="2">
        <f t="shared" si="45"/>
        <v>14695.6</v>
      </c>
      <c r="N488" s="2">
        <f t="shared" si="46"/>
        <v>10259.6</v>
      </c>
      <c r="O488" s="7">
        <f t="shared" si="42"/>
        <v>0.80631903718881748</v>
      </c>
      <c r="P488" s="9">
        <f t="shared" si="47"/>
        <v>37.727279112764293</v>
      </c>
      <c r="Q488" s="7">
        <f t="shared" si="43"/>
        <v>0.17883134317812477</v>
      </c>
      <c r="R488" s="9">
        <f t="shared" si="44"/>
        <v>4.3941370846050844E-3</v>
      </c>
      <c r="V488">
        <v>161022</v>
      </c>
      <c r="W488">
        <v>96982</v>
      </c>
      <c r="Y488">
        <v>187467</v>
      </c>
      <c r="Z488">
        <v>110099</v>
      </c>
      <c r="AB488">
        <v>30372</v>
      </c>
      <c r="AC488">
        <v>136942</v>
      </c>
    </row>
    <row r="489" spans="1:29" x14ac:dyDescent="0.3">
      <c r="A489" t="s">
        <v>499</v>
      </c>
      <c r="B489" t="s">
        <v>516</v>
      </c>
      <c r="C489">
        <v>2024</v>
      </c>
      <c r="D489" s="2">
        <v>161022</v>
      </c>
      <c r="E489" s="2">
        <v>64040</v>
      </c>
      <c r="F489" s="2">
        <v>96982</v>
      </c>
      <c r="G489" s="2">
        <v>192339</v>
      </c>
      <c r="H489" s="2">
        <v>86368</v>
      </c>
      <c r="I489" s="2">
        <v>105971</v>
      </c>
      <c r="J489" s="2">
        <v>91151</v>
      </c>
      <c r="K489" s="2">
        <v>16812691</v>
      </c>
      <c r="L489" s="2">
        <v>5464722</v>
      </c>
      <c r="M489" s="2">
        <f t="shared" si="45"/>
        <v>32204.400000000001</v>
      </c>
      <c r="N489" s="2">
        <f t="shared" si="46"/>
        <v>19396.400000000001</v>
      </c>
      <c r="O489" s="7">
        <f t="shared" si="42"/>
        <v>0.47390804776982309</v>
      </c>
      <c r="P489" s="9">
        <f t="shared" si="47"/>
        <v>32.503553416880145</v>
      </c>
      <c r="Q489" s="7">
        <f t="shared" si="43"/>
        <v>0.44904049620721748</v>
      </c>
      <c r="R489" s="9">
        <f t="shared" si="44"/>
        <v>5.7683805644200559E-3</v>
      </c>
      <c r="V489">
        <v>55842</v>
      </c>
      <c r="W489">
        <v>-17273</v>
      </c>
      <c r="Y489">
        <v>169836</v>
      </c>
      <c r="Z489">
        <v>139464</v>
      </c>
      <c r="AB489">
        <v>86368</v>
      </c>
      <c r="AC489">
        <v>91151</v>
      </c>
    </row>
    <row r="490" spans="1:29" x14ac:dyDescent="0.3">
      <c r="A490" t="s">
        <v>500</v>
      </c>
      <c r="B490" t="s">
        <v>516</v>
      </c>
      <c r="C490">
        <v>2024</v>
      </c>
      <c r="D490" s="2">
        <v>55842</v>
      </c>
      <c r="E490" s="2">
        <v>73115</v>
      </c>
      <c r="F490" s="2">
        <v>-17273</v>
      </c>
      <c r="G490" s="2">
        <v>69579</v>
      </c>
      <c r="H490" s="2">
        <v>60968</v>
      </c>
      <c r="I490" s="2">
        <v>8611</v>
      </c>
      <c r="J490" s="2">
        <v>-10897</v>
      </c>
      <c r="K490" s="2">
        <v>15638837</v>
      </c>
      <c r="L490" s="2">
        <v>12911142</v>
      </c>
      <c r="M490" s="2">
        <f t="shared" si="45"/>
        <v>11168.4</v>
      </c>
      <c r="N490" s="2">
        <f t="shared" si="46"/>
        <v>-3454.6</v>
      </c>
      <c r="O490" s="7">
        <f t="shared" si="42"/>
        <v>-0.15661334598082755</v>
      </c>
      <c r="P490" s="9">
        <f t="shared" si="47"/>
        <v>82.558197901800497</v>
      </c>
      <c r="Q490" s="7">
        <f t="shared" si="43"/>
        <v>0.87624139467368023</v>
      </c>
      <c r="R490" s="9">
        <f t="shared" si="44"/>
        <v>-1.1044938955499057E-3</v>
      </c>
      <c r="V490">
        <v>116914</v>
      </c>
      <c r="W490">
        <v>39859</v>
      </c>
      <c r="Y490">
        <v>192339</v>
      </c>
      <c r="Z490">
        <v>105971</v>
      </c>
      <c r="AB490">
        <v>60968</v>
      </c>
      <c r="AC490">
        <v>-10897</v>
      </c>
    </row>
    <row r="491" spans="1:29" x14ac:dyDescent="0.3">
      <c r="A491" t="s">
        <v>501</v>
      </c>
      <c r="B491" t="s">
        <v>516</v>
      </c>
      <c r="C491">
        <v>2024</v>
      </c>
      <c r="D491" s="2">
        <v>116914</v>
      </c>
      <c r="E491" s="2">
        <v>77055</v>
      </c>
      <c r="F491" s="2">
        <v>39859</v>
      </c>
      <c r="G491" s="2">
        <v>147556</v>
      </c>
      <c r="H491" s="2">
        <v>20355</v>
      </c>
      <c r="I491" s="2">
        <v>127201</v>
      </c>
      <c r="J491" s="2">
        <v>116118</v>
      </c>
      <c r="K491" s="2">
        <v>19980550</v>
      </c>
      <c r="L491" s="2">
        <v>11343528</v>
      </c>
      <c r="M491" s="2">
        <f t="shared" si="45"/>
        <v>23382.799999999999</v>
      </c>
      <c r="N491" s="2">
        <f t="shared" si="46"/>
        <v>7971.8</v>
      </c>
      <c r="O491" s="7">
        <f t="shared" si="42"/>
        <v>0.78694190680148557</v>
      </c>
      <c r="P491" s="9">
        <f t="shared" si="47"/>
        <v>56.77285159817923</v>
      </c>
      <c r="Q491" s="7">
        <f t="shared" si="43"/>
        <v>0.13794762666377511</v>
      </c>
      <c r="R491" s="9">
        <f t="shared" si="44"/>
        <v>1.9948900305547146E-3</v>
      </c>
      <c r="V491">
        <v>52257</v>
      </c>
      <c r="W491">
        <v>14893</v>
      </c>
      <c r="Y491">
        <v>69579</v>
      </c>
      <c r="Z491">
        <v>8611</v>
      </c>
      <c r="AB491">
        <v>20355</v>
      </c>
      <c r="AC491">
        <v>116118</v>
      </c>
    </row>
    <row r="492" spans="1:29" x14ac:dyDescent="0.3">
      <c r="A492" t="s">
        <v>502</v>
      </c>
      <c r="B492" t="s">
        <v>516</v>
      </c>
      <c r="C492">
        <v>2024</v>
      </c>
      <c r="D492" s="2">
        <v>52257</v>
      </c>
      <c r="E492" s="2">
        <v>37364</v>
      </c>
      <c r="F492" s="2">
        <v>14893</v>
      </c>
      <c r="G492" s="2">
        <v>59865</v>
      </c>
      <c r="H492" s="2">
        <v>41654</v>
      </c>
      <c r="I492" s="2">
        <v>18211</v>
      </c>
      <c r="J492" s="2">
        <v>978</v>
      </c>
      <c r="K492" s="2">
        <v>9537871</v>
      </c>
      <c r="L492" s="2">
        <v>3291464</v>
      </c>
      <c r="M492" s="2">
        <f t="shared" si="45"/>
        <v>10451.4</v>
      </c>
      <c r="N492" s="2">
        <f t="shared" si="46"/>
        <v>2978.6</v>
      </c>
      <c r="O492" s="7">
        <f t="shared" si="42"/>
        <v>1.6336757704835881E-2</v>
      </c>
      <c r="P492" s="9">
        <f t="shared" si="47"/>
        <v>34.509420393712603</v>
      </c>
      <c r="Q492" s="7">
        <f t="shared" si="43"/>
        <v>0.6957988808151675</v>
      </c>
      <c r="R492" s="9">
        <f t="shared" si="44"/>
        <v>1.5614595752028938E-3</v>
      </c>
      <c r="V492">
        <v>70808</v>
      </c>
      <c r="W492">
        <v>8419</v>
      </c>
      <c r="Y492">
        <v>147556</v>
      </c>
      <c r="Z492">
        <v>127201</v>
      </c>
      <c r="AB492">
        <v>41654</v>
      </c>
      <c r="AC492">
        <v>978</v>
      </c>
    </row>
    <row r="493" spans="1:29" x14ac:dyDescent="0.3">
      <c r="A493" t="s">
        <v>503</v>
      </c>
      <c r="B493" t="s">
        <v>516</v>
      </c>
      <c r="C493">
        <v>2024</v>
      </c>
      <c r="D493" s="2">
        <v>70808</v>
      </c>
      <c r="E493" s="2">
        <v>62389</v>
      </c>
      <c r="F493" s="2">
        <v>8419</v>
      </c>
      <c r="G493" s="2">
        <v>124109</v>
      </c>
      <c r="H493" s="2">
        <v>49773</v>
      </c>
      <c r="I493" s="2">
        <v>74336</v>
      </c>
      <c r="J493" s="2">
        <v>61476</v>
      </c>
      <c r="K493" s="2">
        <v>5501590</v>
      </c>
      <c r="L493" s="2">
        <v>12807020</v>
      </c>
      <c r="M493" s="2">
        <f t="shared" si="45"/>
        <v>14161.6</v>
      </c>
      <c r="N493" s="2">
        <f t="shared" si="46"/>
        <v>1683.8</v>
      </c>
      <c r="O493" s="7">
        <f t="shared" si="42"/>
        <v>0.49533877478667943</v>
      </c>
      <c r="P493" s="9">
        <f t="shared" si="47"/>
        <v>232.78761230844177</v>
      </c>
      <c r="Q493" s="7">
        <f t="shared" si="43"/>
        <v>0.40104263188004091</v>
      </c>
      <c r="R493" s="9">
        <f t="shared" si="44"/>
        <v>1.5302848812797755E-3</v>
      </c>
      <c r="V493">
        <v>107505</v>
      </c>
      <c r="W493">
        <v>79370</v>
      </c>
      <c r="Y493">
        <v>59865</v>
      </c>
      <c r="Z493">
        <v>18211</v>
      </c>
      <c r="AB493">
        <v>49773</v>
      </c>
      <c r="AC493">
        <v>61476</v>
      </c>
    </row>
    <row r="494" spans="1:29" x14ac:dyDescent="0.3">
      <c r="A494" t="s">
        <v>504</v>
      </c>
      <c r="B494" t="s">
        <v>516</v>
      </c>
      <c r="C494">
        <v>2024</v>
      </c>
      <c r="D494" s="2">
        <v>107505</v>
      </c>
      <c r="E494" s="2">
        <v>28135</v>
      </c>
      <c r="F494" s="2">
        <v>79370</v>
      </c>
      <c r="G494" s="2">
        <v>190257</v>
      </c>
      <c r="H494" s="2">
        <v>62377</v>
      </c>
      <c r="I494" s="2">
        <v>127880</v>
      </c>
      <c r="J494" s="2">
        <v>109517</v>
      </c>
      <c r="K494" s="2">
        <v>11087595</v>
      </c>
      <c r="L494" s="2">
        <v>5575508</v>
      </c>
      <c r="M494" s="2">
        <f t="shared" si="45"/>
        <v>21501</v>
      </c>
      <c r="N494" s="2">
        <f t="shared" si="46"/>
        <v>15874</v>
      </c>
      <c r="O494" s="7">
        <f t="shared" si="42"/>
        <v>0.57562665237021504</v>
      </c>
      <c r="P494" s="9">
        <f t="shared" si="47"/>
        <v>50.285999804285787</v>
      </c>
      <c r="Q494" s="7">
        <f t="shared" si="43"/>
        <v>0.32785653090293654</v>
      </c>
      <c r="R494" s="9">
        <f t="shared" si="44"/>
        <v>7.1584505025661565E-3</v>
      </c>
      <c r="V494">
        <v>66923</v>
      </c>
      <c r="W494">
        <v>9332</v>
      </c>
      <c r="Y494">
        <v>124109</v>
      </c>
      <c r="Z494">
        <v>74336</v>
      </c>
      <c r="AB494">
        <v>62377</v>
      </c>
      <c r="AC494">
        <v>109517</v>
      </c>
    </row>
    <row r="495" spans="1:29" x14ac:dyDescent="0.3">
      <c r="A495" t="s">
        <v>505</v>
      </c>
      <c r="B495" t="s">
        <v>516</v>
      </c>
      <c r="C495">
        <v>2024</v>
      </c>
      <c r="D495" s="2">
        <v>66923</v>
      </c>
      <c r="E495" s="2">
        <v>57591</v>
      </c>
      <c r="F495" s="2">
        <v>9332</v>
      </c>
      <c r="G495" s="2">
        <v>91593</v>
      </c>
      <c r="H495" s="2">
        <v>69336</v>
      </c>
      <c r="I495" s="2">
        <v>22257</v>
      </c>
      <c r="J495" s="2">
        <v>11710</v>
      </c>
      <c r="K495" s="2">
        <v>19216724</v>
      </c>
      <c r="L495" s="2">
        <v>12678075</v>
      </c>
      <c r="M495" s="2">
        <f t="shared" si="45"/>
        <v>13384.6</v>
      </c>
      <c r="N495" s="2">
        <f t="shared" si="46"/>
        <v>1866.4</v>
      </c>
      <c r="O495" s="7">
        <f t="shared" si="42"/>
        <v>0.12784819800639788</v>
      </c>
      <c r="P495" s="9">
        <f t="shared" si="47"/>
        <v>65.97417437019962</v>
      </c>
      <c r="Q495" s="7">
        <f t="shared" si="43"/>
        <v>0.75700108086862539</v>
      </c>
      <c r="R495" s="9">
        <f t="shared" si="44"/>
        <v>4.8561867256874793E-4</v>
      </c>
      <c r="V495">
        <v>76672</v>
      </c>
      <c r="W495">
        <v>62459</v>
      </c>
      <c r="Y495">
        <v>190257</v>
      </c>
      <c r="Z495">
        <v>127880</v>
      </c>
      <c r="AB495">
        <v>69336</v>
      </c>
      <c r="AC495">
        <v>11710</v>
      </c>
    </row>
    <row r="496" spans="1:29" x14ac:dyDescent="0.3">
      <c r="A496" t="s">
        <v>506</v>
      </c>
      <c r="B496" t="s">
        <v>516</v>
      </c>
      <c r="C496">
        <v>2024</v>
      </c>
      <c r="D496" s="2">
        <v>76672</v>
      </c>
      <c r="E496" s="2">
        <v>14213</v>
      </c>
      <c r="F496" s="2">
        <v>62459</v>
      </c>
      <c r="G496" s="2">
        <v>92752</v>
      </c>
      <c r="H496" s="2">
        <v>70860</v>
      </c>
      <c r="I496" s="2">
        <v>21892</v>
      </c>
      <c r="J496" s="2">
        <v>17792</v>
      </c>
      <c r="K496" s="2">
        <v>7338377</v>
      </c>
      <c r="L496" s="2">
        <v>3806564</v>
      </c>
      <c r="M496" s="2">
        <f t="shared" si="45"/>
        <v>15334.4</v>
      </c>
      <c r="N496" s="2">
        <f t="shared" si="46"/>
        <v>12491.8</v>
      </c>
      <c r="O496" s="7">
        <f t="shared" si="42"/>
        <v>0.19182335690874591</v>
      </c>
      <c r="P496" s="9">
        <f t="shared" si="47"/>
        <v>51.872014752035767</v>
      </c>
      <c r="Q496" s="7">
        <f t="shared" si="43"/>
        <v>0.7639727445230291</v>
      </c>
      <c r="R496" s="9">
        <f t="shared" si="44"/>
        <v>8.511282535634242E-3</v>
      </c>
      <c r="V496">
        <v>68199</v>
      </c>
      <c r="W496">
        <v>21590</v>
      </c>
      <c r="Y496">
        <v>91593</v>
      </c>
      <c r="Z496">
        <v>22257</v>
      </c>
      <c r="AB496">
        <v>70860</v>
      </c>
      <c r="AC496">
        <v>17792</v>
      </c>
    </row>
    <row r="497" spans="1:29" x14ac:dyDescent="0.3">
      <c r="A497" t="s">
        <v>507</v>
      </c>
      <c r="B497" t="s">
        <v>516</v>
      </c>
      <c r="C497">
        <v>2024</v>
      </c>
      <c r="D497" s="2">
        <v>68199</v>
      </c>
      <c r="E497" s="2">
        <v>46609</v>
      </c>
      <c r="F497" s="2">
        <v>21590</v>
      </c>
      <c r="G497" s="2">
        <v>84555</v>
      </c>
      <c r="H497" s="2">
        <v>23016</v>
      </c>
      <c r="I497" s="2">
        <v>61539</v>
      </c>
      <c r="J497" s="2">
        <v>52528</v>
      </c>
      <c r="K497" s="2">
        <v>19974089</v>
      </c>
      <c r="L497" s="2">
        <v>3737954</v>
      </c>
      <c r="M497" s="2">
        <f t="shared" si="45"/>
        <v>13639.8</v>
      </c>
      <c r="N497" s="2">
        <f t="shared" si="46"/>
        <v>4318</v>
      </c>
      <c r="O497" s="7">
        <f t="shared" si="42"/>
        <v>0.62122878599727993</v>
      </c>
      <c r="P497" s="9">
        <f t="shared" si="47"/>
        <v>18.714014942058181</v>
      </c>
      <c r="Q497" s="7">
        <f t="shared" si="43"/>
        <v>0.27220152563420258</v>
      </c>
      <c r="R497" s="9">
        <f t="shared" si="44"/>
        <v>1.0809003604619965E-3</v>
      </c>
      <c r="V497">
        <v>74472</v>
      </c>
      <c r="W497">
        <v>12659</v>
      </c>
      <c r="Y497">
        <v>92752</v>
      </c>
      <c r="Z497">
        <v>21892</v>
      </c>
      <c r="AB497">
        <v>69131</v>
      </c>
      <c r="AC497">
        <v>-15279</v>
      </c>
    </row>
    <row r="498" spans="1:29" x14ac:dyDescent="0.3">
      <c r="A498" t="s">
        <v>508</v>
      </c>
      <c r="B498" t="s">
        <v>516</v>
      </c>
      <c r="C498">
        <v>2024</v>
      </c>
      <c r="D498" s="2">
        <v>74472</v>
      </c>
      <c r="E498" s="2">
        <v>61813</v>
      </c>
      <c r="F498" s="2">
        <v>12659</v>
      </c>
      <c r="G498" s="2">
        <v>68680</v>
      </c>
      <c r="H498" s="2">
        <v>69131</v>
      </c>
      <c r="I498" s="2">
        <v>-451</v>
      </c>
      <c r="J498" s="2">
        <v>-15279</v>
      </c>
      <c r="K498" s="2">
        <v>18562026</v>
      </c>
      <c r="L498" s="2">
        <v>14368856</v>
      </c>
      <c r="M498" s="2">
        <f t="shared" si="45"/>
        <v>14894.4</v>
      </c>
      <c r="N498" s="2">
        <f t="shared" si="46"/>
        <v>2531.8000000000002</v>
      </c>
      <c r="O498" s="7">
        <f t="shared" si="42"/>
        <v>-0.22246651135701806</v>
      </c>
      <c r="P498" s="9">
        <f t="shared" si="47"/>
        <v>77.409955141750146</v>
      </c>
      <c r="Q498" s="7">
        <f t="shared" si="43"/>
        <v>1.0065666860803728</v>
      </c>
      <c r="R498" s="9">
        <f t="shared" si="44"/>
        <v>6.8198374466235526E-4</v>
      </c>
      <c r="V498">
        <v>182473</v>
      </c>
      <c r="W498">
        <v>157280</v>
      </c>
      <c r="Y498">
        <v>84555</v>
      </c>
      <c r="Z498">
        <v>61539</v>
      </c>
      <c r="AB498">
        <v>59864</v>
      </c>
      <c r="AC498">
        <v>203591</v>
      </c>
    </row>
    <row r="499" spans="1:29" x14ac:dyDescent="0.3">
      <c r="A499" t="s">
        <v>509</v>
      </c>
      <c r="B499" t="s">
        <v>516</v>
      </c>
      <c r="C499">
        <v>2024</v>
      </c>
      <c r="D499" s="2">
        <v>182473</v>
      </c>
      <c r="E499" s="2">
        <v>25193</v>
      </c>
      <c r="F499" s="2">
        <v>157280</v>
      </c>
      <c r="G499" s="2">
        <v>269669</v>
      </c>
      <c r="H499" s="2">
        <v>59864</v>
      </c>
      <c r="I499" s="2">
        <v>209805</v>
      </c>
      <c r="J499" s="2">
        <v>203591</v>
      </c>
      <c r="K499" s="2">
        <v>7378907</v>
      </c>
      <c r="L499" s="2">
        <v>9990607</v>
      </c>
      <c r="M499" s="2">
        <f t="shared" si="45"/>
        <v>36494.6</v>
      </c>
      <c r="N499" s="2">
        <f t="shared" si="46"/>
        <v>31456</v>
      </c>
      <c r="O499" s="7">
        <f t="shared" si="42"/>
        <v>0.75496627346858558</v>
      </c>
      <c r="P499" s="9">
        <f t="shared" si="47"/>
        <v>135.39413086518098</v>
      </c>
      <c r="Q499" s="7">
        <f t="shared" si="43"/>
        <v>0.22199066262714662</v>
      </c>
      <c r="R499" s="9">
        <f t="shared" si="44"/>
        <v>2.1314809903417945E-2</v>
      </c>
      <c r="V499">
        <v>193022</v>
      </c>
      <c r="W499">
        <v>180277</v>
      </c>
      <c r="Y499">
        <v>68680</v>
      </c>
      <c r="Z499">
        <v>-451</v>
      </c>
      <c r="AB499">
        <v>18866</v>
      </c>
      <c r="AC499">
        <v>222698</v>
      </c>
    </row>
    <row r="500" spans="1:29" x14ac:dyDescent="0.3">
      <c r="A500" t="s">
        <v>510</v>
      </c>
      <c r="B500" t="s">
        <v>516</v>
      </c>
      <c r="C500">
        <v>2024</v>
      </c>
      <c r="D500" s="2">
        <v>193022</v>
      </c>
      <c r="E500" s="2">
        <v>12745</v>
      </c>
      <c r="F500" s="2">
        <v>180277</v>
      </c>
      <c r="G500" s="2">
        <v>255520</v>
      </c>
      <c r="H500" s="2">
        <v>18866</v>
      </c>
      <c r="I500" s="2">
        <v>236654</v>
      </c>
      <c r="J500" s="2">
        <v>222698</v>
      </c>
      <c r="K500" s="2">
        <v>14303721</v>
      </c>
      <c r="L500" s="2">
        <v>5692794</v>
      </c>
      <c r="M500" s="2">
        <f t="shared" si="45"/>
        <v>38604.400000000001</v>
      </c>
      <c r="N500" s="2">
        <f t="shared" si="46"/>
        <v>36055.4</v>
      </c>
      <c r="O500" s="7">
        <f t="shared" si="42"/>
        <v>0.87154821540388228</v>
      </c>
      <c r="P500" s="9">
        <f t="shared" si="47"/>
        <v>39.799392060289769</v>
      </c>
      <c r="Q500" s="7">
        <f t="shared" si="43"/>
        <v>7.3833750782717589E-2</v>
      </c>
      <c r="R500" s="9">
        <f t="shared" si="44"/>
        <v>1.2603503661739486E-2</v>
      </c>
      <c r="V500">
        <v>101374</v>
      </c>
      <c r="W500">
        <v>61258</v>
      </c>
      <c r="Y500">
        <v>269669</v>
      </c>
      <c r="Z500">
        <v>209805</v>
      </c>
      <c r="AB500">
        <v>35447</v>
      </c>
      <c r="AC500">
        <v>106932</v>
      </c>
    </row>
    <row r="501" spans="1:29" x14ac:dyDescent="0.3">
      <c r="A501" t="s">
        <v>511</v>
      </c>
      <c r="B501" t="s">
        <v>516</v>
      </c>
      <c r="C501">
        <v>2024</v>
      </c>
      <c r="D501" s="2">
        <v>101374</v>
      </c>
      <c r="E501" s="2">
        <v>40116</v>
      </c>
      <c r="F501" s="2">
        <v>61258</v>
      </c>
      <c r="G501" s="2">
        <v>162287</v>
      </c>
      <c r="H501" s="2">
        <v>35447</v>
      </c>
      <c r="I501" s="2">
        <v>126840</v>
      </c>
      <c r="J501" s="2">
        <v>106932</v>
      </c>
      <c r="K501" s="2">
        <v>13417944</v>
      </c>
      <c r="L501" s="2">
        <v>6201078</v>
      </c>
      <c r="M501" s="2">
        <f t="shared" si="45"/>
        <v>20274.8</v>
      </c>
      <c r="N501" s="2">
        <f t="shared" si="46"/>
        <v>12251.6</v>
      </c>
      <c r="O501" s="7">
        <f t="shared" si="42"/>
        <v>0.65890675161904522</v>
      </c>
      <c r="P501" s="9">
        <f t="shared" si="47"/>
        <v>46.21481502680291</v>
      </c>
      <c r="Q501" s="7">
        <f t="shared" si="43"/>
        <v>0.21842168503946713</v>
      </c>
      <c r="R501" s="9">
        <f t="shared" si="44"/>
        <v>4.5653790178286626E-3</v>
      </c>
      <c r="Y501">
        <v>255520</v>
      </c>
      <c r="Z501">
        <v>236654</v>
      </c>
    </row>
    <row r="502" spans="1:29" x14ac:dyDescent="0.3">
      <c r="D502" s="2"/>
      <c r="E502" s="2"/>
      <c r="F502" s="2"/>
      <c r="G502" s="2"/>
      <c r="H502" s="2"/>
      <c r="I502" s="2"/>
      <c r="J502" s="2"/>
      <c r="K502" s="2"/>
      <c r="L502" s="2"/>
      <c r="N502" s="2"/>
      <c r="Y502">
        <v>162287</v>
      </c>
      <c r="Z502">
        <v>126840</v>
      </c>
    </row>
    <row r="503" spans="1:29" x14ac:dyDescent="0.3">
      <c r="G503" s="2"/>
      <c r="I503" s="2"/>
      <c r="J503" s="2"/>
    </row>
  </sheetData>
  <sheetProtection algorithmName="SHA-512" hashValue="1zBCVC1zq+lvUSPE3FDVsr6w7KZsUvnGQO8tQG8K+yPwRhh6RmWwWv8n3oWvEXHz5ezkiQ3zqT6GwYm+v4j5Ww==" saltValue="OrIk9lwPeEegT9dtNdm9/g==" spinCount="100000" sheet="1" objects="1" scenarios="1"/>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452E-9468-48A1-9F44-EE9A608E737D}">
  <dimension ref="A3:C105"/>
  <sheetViews>
    <sheetView topLeftCell="A29" workbookViewId="0">
      <selection activeCell="H30" sqref="H30"/>
    </sheetView>
  </sheetViews>
  <sheetFormatPr defaultRowHeight="14.4" x14ac:dyDescent="0.3"/>
  <cols>
    <col min="1" max="1" width="18.109375" bestFit="1" customWidth="1"/>
    <col min="2" max="2" width="22.88671875" bestFit="1" customWidth="1"/>
    <col min="3" max="3" width="21.5546875" bestFit="1" customWidth="1"/>
    <col min="4" max="4" width="7" bestFit="1" customWidth="1"/>
    <col min="5" max="5" width="23.44140625" bestFit="1" customWidth="1"/>
    <col min="6" max="6" width="22.88671875" bestFit="1" customWidth="1"/>
    <col min="10" max="10" width="17.109375" bestFit="1" customWidth="1"/>
    <col min="11" max="11" width="12.6640625" bestFit="1" customWidth="1"/>
    <col min="12" max="12" width="19" bestFit="1" customWidth="1"/>
    <col min="13" max="13" width="12.88671875" bestFit="1" customWidth="1"/>
    <col min="14" max="14" width="19.6640625" bestFit="1" customWidth="1"/>
    <col min="15" max="15" width="7.109375" bestFit="1" customWidth="1"/>
  </cols>
  <sheetData>
    <row r="3" spans="1:2" x14ac:dyDescent="0.3">
      <c r="A3" s="5" t="s">
        <v>521</v>
      </c>
      <c r="B3" t="s">
        <v>523</v>
      </c>
    </row>
    <row r="4" spans="1:2" x14ac:dyDescent="0.3">
      <c r="A4" s="6" t="s">
        <v>513</v>
      </c>
      <c r="B4" s="10">
        <v>15414025</v>
      </c>
    </row>
    <row r="5" spans="1:2" x14ac:dyDescent="0.3">
      <c r="A5" s="6" t="s">
        <v>516</v>
      </c>
      <c r="B5" s="10">
        <v>15319609</v>
      </c>
    </row>
    <row r="6" spans="1:2" x14ac:dyDescent="0.3">
      <c r="A6" s="6" t="s">
        <v>515</v>
      </c>
      <c r="B6" s="10">
        <v>14953973</v>
      </c>
    </row>
    <row r="7" spans="1:2" x14ac:dyDescent="0.3">
      <c r="A7" s="6" t="s">
        <v>514</v>
      </c>
      <c r="B7" s="10">
        <v>14478650</v>
      </c>
    </row>
    <row r="8" spans="1:2" x14ac:dyDescent="0.3">
      <c r="A8" s="6" t="s">
        <v>512</v>
      </c>
      <c r="B8" s="10">
        <v>14126238</v>
      </c>
    </row>
    <row r="9" spans="1:2" x14ac:dyDescent="0.3">
      <c r="A9" s="6" t="s">
        <v>522</v>
      </c>
      <c r="B9" s="2">
        <v>74292495</v>
      </c>
    </row>
    <row r="13" spans="1:2" x14ac:dyDescent="0.3">
      <c r="A13" t="s">
        <v>524</v>
      </c>
    </row>
    <row r="14" spans="1:2" x14ac:dyDescent="0.3">
      <c r="A14" s="10">
        <v>40496718</v>
      </c>
    </row>
    <row r="17" spans="1:1" x14ac:dyDescent="0.3">
      <c r="A17" t="s">
        <v>537</v>
      </c>
    </row>
    <row r="18" spans="1:1" x14ac:dyDescent="0.3">
      <c r="A18" s="10">
        <v>4361218198</v>
      </c>
    </row>
    <row r="35" spans="1:2" x14ac:dyDescent="0.3">
      <c r="A35" s="5" t="s">
        <v>521</v>
      </c>
      <c r="B35" t="s">
        <v>525</v>
      </c>
    </row>
    <row r="36" spans="1:2" x14ac:dyDescent="0.3">
      <c r="A36" s="6" t="s">
        <v>513</v>
      </c>
      <c r="B36" s="10">
        <v>8751245</v>
      </c>
    </row>
    <row r="37" spans="1:2" x14ac:dyDescent="0.3">
      <c r="A37" s="6" t="s">
        <v>515</v>
      </c>
      <c r="B37" s="10">
        <v>8510826</v>
      </c>
    </row>
    <row r="38" spans="1:2" x14ac:dyDescent="0.3">
      <c r="A38" s="6" t="s">
        <v>514</v>
      </c>
      <c r="B38" s="10">
        <v>8159241</v>
      </c>
    </row>
    <row r="39" spans="1:2" x14ac:dyDescent="0.3">
      <c r="A39" s="6" t="s">
        <v>516</v>
      </c>
      <c r="B39" s="10">
        <v>8140473</v>
      </c>
    </row>
    <row r="40" spans="1:2" x14ac:dyDescent="0.3">
      <c r="A40" s="6" t="s">
        <v>512</v>
      </c>
      <c r="B40" s="10">
        <v>7211499</v>
      </c>
    </row>
    <row r="41" spans="1:2" x14ac:dyDescent="0.3">
      <c r="A41" s="6" t="s">
        <v>522</v>
      </c>
      <c r="B41" s="2">
        <v>40773284</v>
      </c>
    </row>
    <row r="46" spans="1:2" x14ac:dyDescent="0.3">
      <c r="A46" s="5" t="s">
        <v>521</v>
      </c>
      <c r="B46" t="s">
        <v>536</v>
      </c>
    </row>
    <row r="47" spans="1:2" x14ac:dyDescent="0.3">
      <c r="A47" s="6" t="s">
        <v>512</v>
      </c>
      <c r="B47" s="7">
        <v>0.18499864606312047</v>
      </c>
    </row>
    <row r="48" spans="1:2" x14ac:dyDescent="0.3">
      <c r="A48" s="6" t="s">
        <v>516</v>
      </c>
      <c r="B48" s="7">
        <v>0.20664669665329422</v>
      </c>
    </row>
    <row r="49" spans="1:2" x14ac:dyDescent="0.3">
      <c r="A49" s="6" t="s">
        <v>513</v>
      </c>
      <c r="B49" s="7">
        <v>0.21999649453074197</v>
      </c>
    </row>
    <row r="50" spans="1:2" x14ac:dyDescent="0.3">
      <c r="A50" s="6" t="s">
        <v>515</v>
      </c>
      <c r="B50" s="7">
        <v>0.19995953746177653</v>
      </c>
    </row>
    <row r="51" spans="1:2" x14ac:dyDescent="0.3">
      <c r="A51" s="6" t="s">
        <v>514</v>
      </c>
      <c r="B51" s="7">
        <v>0.1883986252910668</v>
      </c>
    </row>
    <row r="52" spans="1:2" x14ac:dyDescent="0.3">
      <c r="A52" s="6" t="s">
        <v>522</v>
      </c>
      <c r="B52" s="7">
        <v>1</v>
      </c>
    </row>
    <row r="55" spans="1:2" x14ac:dyDescent="0.3">
      <c r="A55" s="5" t="s">
        <v>521</v>
      </c>
      <c r="B55" t="s">
        <v>527</v>
      </c>
    </row>
    <row r="56" spans="1:2" x14ac:dyDescent="0.3">
      <c r="A56" s="6" t="s">
        <v>513</v>
      </c>
      <c r="B56" s="10">
        <v>9975392</v>
      </c>
    </row>
    <row r="57" spans="1:2" x14ac:dyDescent="0.3">
      <c r="A57" s="6" t="s">
        <v>516</v>
      </c>
      <c r="B57" s="10">
        <v>9577523</v>
      </c>
    </row>
    <row r="58" spans="1:2" x14ac:dyDescent="0.3">
      <c r="A58" s="6" t="s">
        <v>515</v>
      </c>
      <c r="B58" s="10">
        <v>9185660</v>
      </c>
    </row>
    <row r="59" spans="1:2" x14ac:dyDescent="0.3">
      <c r="A59" s="6" t="s">
        <v>514</v>
      </c>
      <c r="B59" s="10">
        <v>8812330</v>
      </c>
    </row>
    <row r="60" spans="1:2" x14ac:dyDescent="0.3">
      <c r="A60" s="6" t="s">
        <v>512</v>
      </c>
      <c r="B60" s="10">
        <v>8531859</v>
      </c>
    </row>
    <row r="61" spans="1:2" x14ac:dyDescent="0.3">
      <c r="A61" s="6" t="s">
        <v>522</v>
      </c>
      <c r="B61" s="2">
        <v>46082764</v>
      </c>
    </row>
    <row r="64" spans="1:2" x14ac:dyDescent="0.3">
      <c r="A64" t="s">
        <v>530</v>
      </c>
    </row>
    <row r="65" spans="1:2" x14ac:dyDescent="0.3">
      <c r="A65" s="11">
        <v>247.88516830546857</v>
      </c>
    </row>
    <row r="68" spans="1:2" x14ac:dyDescent="0.3">
      <c r="A68" t="s">
        <v>531</v>
      </c>
    </row>
    <row r="69" spans="1:2" x14ac:dyDescent="0.3">
      <c r="A69" s="7">
        <v>3.758128381192702</v>
      </c>
    </row>
    <row r="71" spans="1:2" x14ac:dyDescent="0.3">
      <c r="A71" t="s">
        <v>532</v>
      </c>
    </row>
    <row r="72" spans="1:2" x14ac:dyDescent="0.3">
      <c r="A72" s="7">
        <v>202.00112228766034</v>
      </c>
    </row>
    <row r="74" spans="1:2" x14ac:dyDescent="0.3">
      <c r="A74" t="s">
        <v>526</v>
      </c>
    </row>
    <row r="75" spans="1:2" x14ac:dyDescent="0.3">
      <c r="A75" s="13">
        <v>6333313618</v>
      </c>
    </row>
    <row r="77" spans="1:2" x14ac:dyDescent="0.3">
      <c r="A77" s="5" t="s">
        <v>521</v>
      </c>
      <c r="B77" t="s">
        <v>538</v>
      </c>
    </row>
    <row r="78" spans="1:2" x14ac:dyDescent="0.3">
      <c r="A78" s="6" t="s">
        <v>513</v>
      </c>
      <c r="B78" s="10">
        <v>13104977</v>
      </c>
    </row>
    <row r="79" spans="1:2" x14ac:dyDescent="0.3">
      <c r="A79" s="6" t="s">
        <v>514</v>
      </c>
      <c r="B79" s="10">
        <v>12930125</v>
      </c>
    </row>
    <row r="80" spans="1:2" x14ac:dyDescent="0.3">
      <c r="A80" s="6" t="s">
        <v>515</v>
      </c>
      <c r="B80" s="10">
        <v>12892324</v>
      </c>
    </row>
    <row r="81" spans="1:3" x14ac:dyDescent="0.3">
      <c r="A81" s="6" t="s">
        <v>516</v>
      </c>
      <c r="B81" s="10">
        <v>12675845</v>
      </c>
    </row>
    <row r="82" spans="1:3" x14ac:dyDescent="0.3">
      <c r="A82" s="6" t="s">
        <v>512</v>
      </c>
      <c r="B82" s="10">
        <v>11694123</v>
      </c>
    </row>
    <row r="83" spans="1:3" x14ac:dyDescent="0.3">
      <c r="A83" s="6" t="s">
        <v>522</v>
      </c>
      <c r="B83" s="10">
        <v>63297394</v>
      </c>
    </row>
    <row r="87" spans="1:3" x14ac:dyDescent="0.3">
      <c r="A87" s="15"/>
      <c r="B87" s="16"/>
      <c r="C87" s="17"/>
    </row>
    <row r="88" spans="1:3" x14ac:dyDescent="0.3">
      <c r="A88" s="18"/>
      <c r="B88" s="19"/>
      <c r="C88" s="20"/>
    </row>
    <row r="89" spans="1:3" x14ac:dyDescent="0.3">
      <c r="A89" s="18"/>
      <c r="B89" s="19"/>
      <c r="C89" s="20"/>
    </row>
    <row r="90" spans="1:3" x14ac:dyDescent="0.3">
      <c r="A90" s="18"/>
      <c r="B90" s="19"/>
      <c r="C90" s="20"/>
    </row>
    <row r="91" spans="1:3" x14ac:dyDescent="0.3">
      <c r="A91" s="18"/>
      <c r="B91" s="19"/>
      <c r="C91" s="20"/>
    </row>
    <row r="92" spans="1:3" x14ac:dyDescent="0.3">
      <c r="A92" s="18"/>
      <c r="B92" s="19"/>
      <c r="C92" s="20"/>
    </row>
    <row r="93" spans="1:3" x14ac:dyDescent="0.3">
      <c r="A93" s="18"/>
      <c r="B93" s="19"/>
      <c r="C93" s="20"/>
    </row>
    <row r="94" spans="1:3" x14ac:dyDescent="0.3">
      <c r="A94" s="18"/>
      <c r="B94" s="19"/>
      <c r="C94" s="20"/>
    </row>
    <row r="95" spans="1:3" x14ac:dyDescent="0.3">
      <c r="A95" s="18"/>
      <c r="B95" s="19"/>
      <c r="C95" s="20"/>
    </row>
    <row r="96" spans="1:3" x14ac:dyDescent="0.3">
      <c r="A96" s="18"/>
      <c r="B96" s="19"/>
      <c r="C96" s="20"/>
    </row>
    <row r="97" spans="1:3" x14ac:dyDescent="0.3">
      <c r="A97" s="18"/>
      <c r="B97" s="19"/>
      <c r="C97" s="20"/>
    </row>
    <row r="98" spans="1:3" x14ac:dyDescent="0.3">
      <c r="A98" s="18"/>
      <c r="B98" s="19"/>
      <c r="C98" s="20"/>
    </row>
    <row r="99" spans="1:3" x14ac:dyDescent="0.3">
      <c r="A99" s="18"/>
      <c r="B99" s="19"/>
      <c r="C99" s="20"/>
    </row>
    <row r="100" spans="1:3" x14ac:dyDescent="0.3">
      <c r="A100" s="18"/>
      <c r="B100" s="19"/>
      <c r="C100" s="20"/>
    </row>
    <row r="101" spans="1:3" x14ac:dyDescent="0.3">
      <c r="A101" s="18"/>
      <c r="B101" s="19"/>
      <c r="C101" s="20"/>
    </row>
    <row r="102" spans="1:3" x14ac:dyDescent="0.3">
      <c r="A102" s="18"/>
      <c r="B102" s="19"/>
      <c r="C102" s="20"/>
    </row>
    <row r="103" spans="1:3" x14ac:dyDescent="0.3">
      <c r="A103" s="18"/>
      <c r="B103" s="19"/>
      <c r="C103" s="20"/>
    </row>
    <row r="104" spans="1:3" x14ac:dyDescent="0.3">
      <c r="A104" s="21"/>
      <c r="B104" s="22"/>
      <c r="C104" s="23"/>
    </row>
    <row r="105" spans="1:3" x14ac:dyDescent="0.3">
      <c r="B105" s="14"/>
      <c r="C105" s="14"/>
    </row>
  </sheetData>
  <sheetProtection algorithmName="SHA-512" hashValue="GADVzw4z3CF57/Jhxp3i7JPtWjXgPiMYyCM6nPvJT+rIMrJs0rvub8gWC/t8sWczAYNg6ePtyEuXMJ+OyzUJdQ==" saltValue="acZsBUxw3ZewLOvO8isPaw==" spinCount="100000" sheet="1" objects="1" scenarios="1"/>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D7BA1-7917-4ACB-ADAF-E3C6F3F98FAA}">
  <sheetPr>
    <pageSetUpPr fitToPage="1"/>
  </sheetPr>
  <dimension ref="B40:B75"/>
  <sheetViews>
    <sheetView showGridLines="0" zoomScaleNormal="100" workbookViewId="0">
      <selection activeCell="G48" sqref="G48"/>
    </sheetView>
  </sheetViews>
  <sheetFormatPr defaultRowHeight="14.4" x14ac:dyDescent="0.3"/>
  <sheetData>
    <row r="40" spans="2:2" ht="20.399999999999999" x14ac:dyDescent="0.35">
      <c r="B40" s="30"/>
    </row>
    <row r="41" spans="2:2" ht="20.399999999999999" x14ac:dyDescent="0.35">
      <c r="B41" s="30"/>
    </row>
    <row r="42" spans="2:2" x14ac:dyDescent="0.3">
      <c r="B42" s="29"/>
    </row>
    <row r="44" spans="2:2" x14ac:dyDescent="0.3">
      <c r="B44" s="26"/>
    </row>
    <row r="45" spans="2:2" x14ac:dyDescent="0.3">
      <c r="B45" s="26"/>
    </row>
    <row r="46" spans="2:2" x14ac:dyDescent="0.3">
      <c r="B46" s="26"/>
    </row>
    <row r="47" spans="2:2" ht="18" x14ac:dyDescent="0.3">
      <c r="B47" s="24"/>
    </row>
    <row r="48" spans="2:2" x14ac:dyDescent="0.3">
      <c r="B48" s="25"/>
    </row>
    <row r="49" spans="2:2" x14ac:dyDescent="0.3">
      <c r="B49" s="25"/>
    </row>
    <row r="50" spans="2:2" x14ac:dyDescent="0.3">
      <c r="B50" s="29"/>
    </row>
    <row r="52" spans="2:2" x14ac:dyDescent="0.3">
      <c r="B52" s="26"/>
    </row>
    <row r="53" spans="2:2" x14ac:dyDescent="0.3">
      <c r="B53" s="26"/>
    </row>
    <row r="54" spans="2:2" ht="18" x14ac:dyDescent="0.3">
      <c r="B54" s="24"/>
    </row>
    <row r="55" spans="2:2" x14ac:dyDescent="0.3">
      <c r="B55" s="26"/>
    </row>
    <row r="57" spans="2:2" ht="15.6" x14ac:dyDescent="0.3">
      <c r="B57" s="31"/>
    </row>
    <row r="59" spans="2:2" x14ac:dyDescent="0.3">
      <c r="B59" s="26"/>
    </row>
    <row r="60" spans="2:2" x14ac:dyDescent="0.3">
      <c r="B60" s="26"/>
    </row>
    <row r="61" spans="2:2" x14ac:dyDescent="0.3">
      <c r="B61" s="26"/>
    </row>
    <row r="62" spans="2:2" ht="18" x14ac:dyDescent="0.3">
      <c r="B62" s="24"/>
    </row>
    <row r="63" spans="2:2" x14ac:dyDescent="0.3">
      <c r="B63" s="26"/>
    </row>
    <row r="65" spans="2:2" ht="15.6" x14ac:dyDescent="0.3">
      <c r="B65" s="31"/>
    </row>
    <row r="67" spans="2:2" x14ac:dyDescent="0.3">
      <c r="B67" s="26"/>
    </row>
    <row r="68" spans="2:2" x14ac:dyDescent="0.3">
      <c r="B68" s="27"/>
    </row>
    <row r="69" spans="2:2" x14ac:dyDescent="0.3">
      <c r="B69" s="26"/>
    </row>
    <row r="70" spans="2:2" x14ac:dyDescent="0.3">
      <c r="B70" s="27"/>
    </row>
    <row r="71" spans="2:2" x14ac:dyDescent="0.3">
      <c r="B71" s="27"/>
    </row>
    <row r="72" spans="2:2" ht="18" x14ac:dyDescent="0.3">
      <c r="B72" s="24"/>
    </row>
    <row r="73" spans="2:2" x14ac:dyDescent="0.3">
      <c r="B73" s="26"/>
    </row>
    <row r="74" spans="2:2" ht="23.4" x14ac:dyDescent="0.3">
      <c r="B74" s="28"/>
    </row>
    <row r="75" spans="2:2" x14ac:dyDescent="0.3">
      <c r="B75" s="26"/>
    </row>
  </sheetData>
  <sheetProtection pivotTables="0"/>
  <pageMargins left="0.7" right="0.7" top="0.75" bottom="0.75" header="0.3" footer="0.3"/>
  <pageSetup scale="42"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64A3-D904-435D-B961-C4276007B6BB}">
  <dimension ref="A1:F501"/>
  <sheetViews>
    <sheetView topLeftCell="B29" workbookViewId="0">
      <selection activeCell="E65" sqref="E65:F65"/>
    </sheetView>
  </sheetViews>
  <sheetFormatPr defaultRowHeight="14.4" x14ac:dyDescent="0.3"/>
  <cols>
    <col min="1" max="1" width="17.109375" bestFit="1" customWidth="1"/>
    <col min="2" max="2" width="12.6640625" bestFit="1" customWidth="1"/>
    <col min="3" max="3" width="19" bestFit="1" customWidth="1"/>
    <col min="4" max="4" width="12.88671875" bestFit="1" customWidth="1"/>
    <col min="5" max="5" width="19.6640625" bestFit="1" customWidth="1"/>
    <col min="6" max="6" width="7.109375" bestFit="1" customWidth="1"/>
  </cols>
  <sheetData>
    <row r="1" spans="1:6" x14ac:dyDescent="0.3">
      <c r="A1" t="s">
        <v>3</v>
      </c>
      <c r="B1" t="s">
        <v>534</v>
      </c>
      <c r="C1" t="s">
        <v>6</v>
      </c>
      <c r="D1" t="s">
        <v>535</v>
      </c>
      <c r="E1" t="s">
        <v>7</v>
      </c>
      <c r="F1" t="s">
        <v>533</v>
      </c>
    </row>
    <row r="2" spans="1:6" x14ac:dyDescent="0.3">
      <c r="A2">
        <v>171958</v>
      </c>
      <c r="B2">
        <v>146163</v>
      </c>
      <c r="C2">
        <v>167023</v>
      </c>
      <c r="D2">
        <v>75203</v>
      </c>
      <c r="E2">
        <v>91820</v>
      </c>
      <c r="F2">
        <v>66938</v>
      </c>
    </row>
    <row r="3" spans="1:6" x14ac:dyDescent="0.3">
      <c r="A3">
        <v>162727</v>
      </c>
      <c r="B3">
        <v>108596</v>
      </c>
      <c r="C3">
        <v>188859</v>
      </c>
      <c r="D3">
        <v>157836</v>
      </c>
      <c r="E3">
        <v>31023</v>
      </c>
      <c r="F3">
        <v>147514</v>
      </c>
    </row>
    <row r="4" spans="1:6" x14ac:dyDescent="0.3">
      <c r="A4">
        <v>50769</v>
      </c>
      <c r="B4">
        <v>-18966</v>
      </c>
      <c r="C4">
        <v>63989</v>
      </c>
      <c r="D4">
        <v>-15936</v>
      </c>
      <c r="E4">
        <v>79925</v>
      </c>
      <c r="F4">
        <v>-20369</v>
      </c>
    </row>
    <row r="5" spans="1:6" x14ac:dyDescent="0.3">
      <c r="A5">
        <v>135305</v>
      </c>
      <c r="B5">
        <v>96612</v>
      </c>
      <c r="C5">
        <v>188544</v>
      </c>
      <c r="D5">
        <v>147886</v>
      </c>
      <c r="E5">
        <v>40658</v>
      </c>
      <c r="F5">
        <v>143139</v>
      </c>
    </row>
    <row r="6" spans="1:6" x14ac:dyDescent="0.3">
      <c r="A6">
        <v>115725</v>
      </c>
      <c r="B6">
        <v>69952</v>
      </c>
      <c r="C6">
        <v>157387</v>
      </c>
      <c r="D6">
        <v>85501</v>
      </c>
      <c r="E6">
        <v>71886</v>
      </c>
      <c r="F6">
        <v>82234</v>
      </c>
    </row>
    <row r="7" spans="1:6" x14ac:dyDescent="0.3">
      <c r="A7">
        <v>61394</v>
      </c>
      <c r="B7">
        <v>-17698</v>
      </c>
      <c r="C7">
        <v>6192</v>
      </c>
      <c r="D7">
        <v>-50414</v>
      </c>
      <c r="E7">
        <v>56606</v>
      </c>
      <c r="F7">
        <v>-66916</v>
      </c>
    </row>
    <row r="8" spans="1:6" x14ac:dyDescent="0.3">
      <c r="A8">
        <v>118148</v>
      </c>
      <c r="B8">
        <v>84665</v>
      </c>
      <c r="C8">
        <v>153220</v>
      </c>
      <c r="D8">
        <v>121061</v>
      </c>
      <c r="E8">
        <v>32159</v>
      </c>
      <c r="F8">
        <v>106855</v>
      </c>
    </row>
    <row r="9" spans="1:6" x14ac:dyDescent="0.3">
      <c r="A9">
        <v>69457</v>
      </c>
      <c r="B9">
        <v>-7100</v>
      </c>
      <c r="C9">
        <v>90089</v>
      </c>
      <c r="D9">
        <v>-3864</v>
      </c>
      <c r="E9">
        <v>93953</v>
      </c>
      <c r="F9">
        <v>-13853</v>
      </c>
    </row>
    <row r="10" spans="1:6" x14ac:dyDescent="0.3">
      <c r="A10">
        <v>87065</v>
      </c>
      <c r="B10">
        <v>44459</v>
      </c>
      <c r="C10">
        <v>75993</v>
      </c>
      <c r="D10">
        <v>20596</v>
      </c>
      <c r="E10">
        <v>55397</v>
      </c>
      <c r="F10">
        <v>17580</v>
      </c>
    </row>
    <row r="11" spans="1:6" x14ac:dyDescent="0.3">
      <c r="A11">
        <v>73247</v>
      </c>
      <c r="B11">
        <v>38947</v>
      </c>
      <c r="C11">
        <v>133012</v>
      </c>
      <c r="D11">
        <v>35214</v>
      </c>
      <c r="E11">
        <v>97798</v>
      </c>
      <c r="F11">
        <v>23946</v>
      </c>
    </row>
    <row r="12" spans="1:6" x14ac:dyDescent="0.3">
      <c r="A12">
        <v>189643</v>
      </c>
      <c r="B12">
        <v>141599</v>
      </c>
      <c r="C12">
        <v>212813</v>
      </c>
      <c r="D12">
        <v>136585</v>
      </c>
      <c r="E12">
        <v>76228</v>
      </c>
      <c r="F12">
        <v>118137</v>
      </c>
    </row>
    <row r="13" spans="1:6" x14ac:dyDescent="0.3">
      <c r="A13">
        <v>52568</v>
      </c>
      <c r="B13">
        <v>-20024</v>
      </c>
      <c r="C13">
        <v>67539</v>
      </c>
      <c r="D13">
        <v>49844</v>
      </c>
      <c r="E13">
        <v>17695</v>
      </c>
      <c r="F13">
        <v>32422</v>
      </c>
    </row>
    <row r="14" spans="1:6" x14ac:dyDescent="0.3">
      <c r="A14">
        <v>63986</v>
      </c>
      <c r="B14">
        <v>-7872</v>
      </c>
      <c r="C14">
        <v>24794</v>
      </c>
      <c r="D14">
        <v>-28866</v>
      </c>
      <c r="E14">
        <v>53660</v>
      </c>
      <c r="F14">
        <v>-34427</v>
      </c>
    </row>
    <row r="15" spans="1:6" x14ac:dyDescent="0.3">
      <c r="A15">
        <v>154488</v>
      </c>
      <c r="B15">
        <v>92237</v>
      </c>
      <c r="C15">
        <v>134899</v>
      </c>
      <c r="D15">
        <v>111507</v>
      </c>
      <c r="E15">
        <v>23392</v>
      </c>
      <c r="F15">
        <v>96440</v>
      </c>
    </row>
    <row r="16" spans="1:6" x14ac:dyDescent="0.3">
      <c r="A16">
        <v>139135</v>
      </c>
      <c r="B16">
        <v>93913</v>
      </c>
      <c r="C16">
        <v>191286</v>
      </c>
      <c r="D16">
        <v>96711</v>
      </c>
      <c r="E16">
        <v>94575</v>
      </c>
      <c r="F16">
        <v>83746</v>
      </c>
    </row>
    <row r="17" spans="1:6" x14ac:dyDescent="0.3">
      <c r="A17">
        <v>163252</v>
      </c>
      <c r="B17">
        <v>145142</v>
      </c>
      <c r="C17">
        <v>244451</v>
      </c>
      <c r="D17">
        <v>202185</v>
      </c>
      <c r="E17">
        <v>42266</v>
      </c>
      <c r="F17">
        <v>182773</v>
      </c>
    </row>
    <row r="18" spans="1:6" x14ac:dyDescent="0.3">
      <c r="A18">
        <v>187982</v>
      </c>
      <c r="B18">
        <v>177776</v>
      </c>
      <c r="C18">
        <v>284830</v>
      </c>
      <c r="D18">
        <v>246411</v>
      </c>
      <c r="E18">
        <v>38419</v>
      </c>
      <c r="F18">
        <v>226543</v>
      </c>
    </row>
    <row r="19" spans="1:6" x14ac:dyDescent="0.3">
      <c r="A19">
        <v>100015</v>
      </c>
      <c r="B19">
        <v>35747</v>
      </c>
      <c r="C19">
        <v>143686</v>
      </c>
      <c r="D19">
        <v>110545</v>
      </c>
      <c r="E19">
        <v>33141</v>
      </c>
      <c r="F19">
        <v>93725</v>
      </c>
    </row>
    <row r="20" spans="1:6" x14ac:dyDescent="0.3">
      <c r="A20">
        <v>112623</v>
      </c>
      <c r="B20">
        <v>80324</v>
      </c>
      <c r="C20">
        <v>143909</v>
      </c>
      <c r="D20">
        <v>64865</v>
      </c>
      <c r="E20">
        <v>79044</v>
      </c>
      <c r="F20">
        <v>53076</v>
      </c>
    </row>
    <row r="21" spans="1:6" x14ac:dyDescent="0.3">
      <c r="A21">
        <v>52693</v>
      </c>
      <c r="B21">
        <v>-26470</v>
      </c>
      <c r="C21">
        <v>19469</v>
      </c>
      <c r="D21">
        <v>-44456</v>
      </c>
      <c r="E21">
        <v>63925</v>
      </c>
      <c r="F21">
        <v>-56629</v>
      </c>
    </row>
    <row r="22" spans="1:6" x14ac:dyDescent="0.3">
      <c r="A22">
        <v>76105</v>
      </c>
      <c r="B22">
        <v>50398</v>
      </c>
      <c r="C22">
        <v>92374</v>
      </c>
      <c r="D22">
        <v>33112</v>
      </c>
      <c r="E22">
        <v>59262</v>
      </c>
      <c r="F22">
        <v>29806</v>
      </c>
    </row>
    <row r="23" spans="1:6" x14ac:dyDescent="0.3">
      <c r="A23">
        <v>142787</v>
      </c>
      <c r="B23">
        <v>77771</v>
      </c>
      <c r="C23">
        <v>107245</v>
      </c>
      <c r="D23">
        <v>34192</v>
      </c>
      <c r="E23">
        <v>73053</v>
      </c>
      <c r="F23">
        <v>26662</v>
      </c>
    </row>
    <row r="24" spans="1:6" x14ac:dyDescent="0.3">
      <c r="A24">
        <v>53748</v>
      </c>
      <c r="B24">
        <v>30203</v>
      </c>
      <c r="C24">
        <v>116402</v>
      </c>
      <c r="D24">
        <v>66636</v>
      </c>
      <c r="E24">
        <v>49766</v>
      </c>
      <c r="F24">
        <v>56642</v>
      </c>
    </row>
    <row r="25" spans="1:6" x14ac:dyDescent="0.3">
      <c r="A25">
        <v>118840</v>
      </c>
      <c r="B25">
        <v>54456</v>
      </c>
      <c r="C25">
        <v>125461</v>
      </c>
      <c r="D25">
        <v>63885</v>
      </c>
      <c r="E25">
        <v>61576</v>
      </c>
      <c r="F25">
        <v>55300</v>
      </c>
    </row>
    <row r="26" spans="1:6" x14ac:dyDescent="0.3">
      <c r="A26">
        <v>102733</v>
      </c>
      <c r="B26">
        <v>27415</v>
      </c>
      <c r="C26">
        <v>136889</v>
      </c>
      <c r="D26">
        <v>98225</v>
      </c>
      <c r="E26">
        <v>38664</v>
      </c>
      <c r="F26">
        <v>94589</v>
      </c>
    </row>
    <row r="27" spans="1:6" x14ac:dyDescent="0.3">
      <c r="A27">
        <v>76736</v>
      </c>
      <c r="B27">
        <v>65882</v>
      </c>
      <c r="C27">
        <v>175966</v>
      </c>
      <c r="D27">
        <v>122343</v>
      </c>
      <c r="E27">
        <v>53623</v>
      </c>
      <c r="F27">
        <v>112951</v>
      </c>
    </row>
    <row r="28" spans="1:6" x14ac:dyDescent="0.3">
      <c r="A28">
        <v>100859</v>
      </c>
      <c r="B28">
        <v>64550</v>
      </c>
      <c r="C28">
        <v>172005</v>
      </c>
      <c r="D28">
        <v>93271</v>
      </c>
      <c r="E28">
        <v>78734</v>
      </c>
      <c r="F28">
        <v>86340</v>
      </c>
    </row>
    <row r="29" spans="1:6" x14ac:dyDescent="0.3">
      <c r="A29">
        <v>168906</v>
      </c>
      <c r="B29">
        <v>146218</v>
      </c>
      <c r="C29">
        <v>191560</v>
      </c>
      <c r="D29">
        <v>139403</v>
      </c>
      <c r="E29">
        <v>52157</v>
      </c>
      <c r="F29">
        <v>135076</v>
      </c>
    </row>
    <row r="30" spans="1:6" x14ac:dyDescent="0.3">
      <c r="A30">
        <v>139045</v>
      </c>
      <c r="B30">
        <v>94347</v>
      </c>
      <c r="C30">
        <v>194970</v>
      </c>
      <c r="D30">
        <v>157299</v>
      </c>
      <c r="E30">
        <v>37671</v>
      </c>
      <c r="F30">
        <v>145960</v>
      </c>
    </row>
    <row r="31" spans="1:6" x14ac:dyDescent="0.3">
      <c r="A31">
        <v>65708</v>
      </c>
      <c r="B31">
        <v>5897</v>
      </c>
      <c r="C31">
        <v>28708</v>
      </c>
      <c r="D31">
        <v>-42542</v>
      </c>
      <c r="E31">
        <v>71250</v>
      </c>
      <c r="F31">
        <v>-58785</v>
      </c>
    </row>
    <row r="32" spans="1:6" x14ac:dyDescent="0.3">
      <c r="A32">
        <v>84754</v>
      </c>
      <c r="B32">
        <v>63343</v>
      </c>
      <c r="C32">
        <v>86254</v>
      </c>
      <c r="D32">
        <v>3984</v>
      </c>
      <c r="E32">
        <v>82270</v>
      </c>
      <c r="F32">
        <v>-6696</v>
      </c>
    </row>
    <row r="33" spans="1:6" x14ac:dyDescent="0.3">
      <c r="A33">
        <v>150689</v>
      </c>
      <c r="B33">
        <v>129578</v>
      </c>
      <c r="C33">
        <v>187082</v>
      </c>
      <c r="D33">
        <v>170280</v>
      </c>
      <c r="E33">
        <v>16802</v>
      </c>
      <c r="F33">
        <v>160125</v>
      </c>
    </row>
    <row r="34" spans="1:6" x14ac:dyDescent="0.3">
      <c r="A34">
        <v>162561</v>
      </c>
      <c r="B34">
        <v>105307</v>
      </c>
      <c r="C34">
        <v>147225</v>
      </c>
      <c r="D34">
        <v>71512</v>
      </c>
      <c r="E34">
        <v>75713</v>
      </c>
      <c r="F34">
        <v>52866</v>
      </c>
    </row>
    <row r="35" spans="1:6" x14ac:dyDescent="0.3">
      <c r="A35">
        <v>157512</v>
      </c>
      <c r="B35">
        <v>131141</v>
      </c>
      <c r="C35">
        <v>228512</v>
      </c>
      <c r="D35">
        <v>211463</v>
      </c>
      <c r="E35">
        <v>17049</v>
      </c>
      <c r="F35">
        <v>204040</v>
      </c>
    </row>
    <row r="36" spans="1:6" x14ac:dyDescent="0.3">
      <c r="A36">
        <v>70932</v>
      </c>
      <c r="B36">
        <v>31077</v>
      </c>
      <c r="C36">
        <v>112511</v>
      </c>
      <c r="D36">
        <v>24817</v>
      </c>
      <c r="E36">
        <v>87694</v>
      </c>
      <c r="F36">
        <v>12569</v>
      </c>
    </row>
    <row r="37" spans="1:6" x14ac:dyDescent="0.3">
      <c r="A37">
        <v>65151</v>
      </c>
      <c r="B37">
        <v>3744</v>
      </c>
      <c r="C37">
        <v>90434</v>
      </c>
      <c r="D37">
        <v>70935</v>
      </c>
      <c r="E37">
        <v>19499</v>
      </c>
      <c r="F37">
        <v>62640</v>
      </c>
    </row>
    <row r="38" spans="1:6" x14ac:dyDescent="0.3">
      <c r="A38">
        <v>109040</v>
      </c>
      <c r="B38">
        <v>86857</v>
      </c>
      <c r="C38">
        <v>136156</v>
      </c>
      <c r="D38">
        <v>108282</v>
      </c>
      <c r="E38">
        <v>27874</v>
      </c>
      <c r="F38">
        <v>100743</v>
      </c>
    </row>
    <row r="39" spans="1:6" x14ac:dyDescent="0.3">
      <c r="A39">
        <v>176063</v>
      </c>
      <c r="B39">
        <v>163506</v>
      </c>
      <c r="C39">
        <v>221866</v>
      </c>
      <c r="D39">
        <v>124848</v>
      </c>
      <c r="E39">
        <v>97018</v>
      </c>
      <c r="F39">
        <v>120648</v>
      </c>
    </row>
    <row r="40" spans="1:6" x14ac:dyDescent="0.3">
      <c r="A40">
        <v>71357</v>
      </c>
      <c r="B40">
        <v>58488</v>
      </c>
      <c r="C40">
        <v>139623</v>
      </c>
      <c r="D40">
        <v>74515</v>
      </c>
      <c r="E40">
        <v>65108</v>
      </c>
      <c r="F40">
        <v>58523</v>
      </c>
    </row>
    <row r="41" spans="1:6" x14ac:dyDescent="0.3">
      <c r="A41">
        <v>88467</v>
      </c>
      <c r="B41">
        <v>115981</v>
      </c>
      <c r="C41">
        <v>166551</v>
      </c>
      <c r="D41">
        <v>147564</v>
      </c>
      <c r="E41">
        <v>18987</v>
      </c>
      <c r="F41">
        <v>132118</v>
      </c>
    </row>
    <row r="42" spans="1:6" x14ac:dyDescent="0.3">
      <c r="A42">
        <v>120271</v>
      </c>
      <c r="B42">
        <v>66207</v>
      </c>
      <c r="C42">
        <v>156298</v>
      </c>
      <c r="D42">
        <v>100480</v>
      </c>
      <c r="E42">
        <v>55818</v>
      </c>
      <c r="F42">
        <v>85723</v>
      </c>
    </row>
    <row r="43" spans="1:6" x14ac:dyDescent="0.3">
      <c r="A43">
        <v>187965</v>
      </c>
      <c r="B43">
        <v>130632</v>
      </c>
      <c r="C43">
        <v>154068</v>
      </c>
      <c r="D43">
        <v>64778</v>
      </c>
      <c r="E43">
        <v>89290</v>
      </c>
      <c r="F43">
        <v>52101</v>
      </c>
    </row>
    <row r="44" spans="1:6" x14ac:dyDescent="0.3">
      <c r="A44">
        <v>99377</v>
      </c>
      <c r="B44">
        <v>40973</v>
      </c>
      <c r="C44">
        <v>115018</v>
      </c>
      <c r="D44">
        <v>60228</v>
      </c>
      <c r="E44">
        <v>54790</v>
      </c>
      <c r="F44">
        <v>49077</v>
      </c>
    </row>
    <row r="45" spans="1:6" x14ac:dyDescent="0.3">
      <c r="A45">
        <v>152946</v>
      </c>
      <c r="B45">
        <v>86455</v>
      </c>
      <c r="C45">
        <v>125044</v>
      </c>
      <c r="D45">
        <v>66560</v>
      </c>
      <c r="E45">
        <v>58484</v>
      </c>
      <c r="F45">
        <v>47107</v>
      </c>
    </row>
    <row r="46" spans="1:6" x14ac:dyDescent="0.3">
      <c r="A46">
        <v>113208</v>
      </c>
      <c r="B46">
        <v>69380</v>
      </c>
      <c r="C46">
        <v>108091</v>
      </c>
      <c r="D46">
        <v>89671</v>
      </c>
      <c r="E46">
        <v>18420</v>
      </c>
      <c r="F46">
        <v>87370</v>
      </c>
    </row>
    <row r="47" spans="1:6" x14ac:dyDescent="0.3">
      <c r="A47">
        <v>174019</v>
      </c>
      <c r="B47">
        <v>98293</v>
      </c>
      <c r="C47">
        <v>128785</v>
      </c>
      <c r="D47">
        <v>107683</v>
      </c>
      <c r="E47">
        <v>21102</v>
      </c>
      <c r="F47">
        <v>88115</v>
      </c>
    </row>
    <row r="48" spans="1:6" x14ac:dyDescent="0.3">
      <c r="A48">
        <v>76641</v>
      </c>
      <c r="B48">
        <v>32057</v>
      </c>
      <c r="C48">
        <v>84802</v>
      </c>
      <c r="D48">
        <v>46709</v>
      </c>
      <c r="E48">
        <v>38093</v>
      </c>
      <c r="F48">
        <v>44140</v>
      </c>
    </row>
    <row r="49" spans="1:6" x14ac:dyDescent="0.3">
      <c r="A49">
        <v>86631</v>
      </c>
      <c r="B49">
        <v>72617</v>
      </c>
      <c r="C49">
        <v>103710</v>
      </c>
      <c r="D49">
        <v>70640</v>
      </c>
      <c r="E49">
        <v>33070</v>
      </c>
      <c r="F49">
        <v>65631</v>
      </c>
    </row>
    <row r="50" spans="1:6" x14ac:dyDescent="0.3">
      <c r="A50">
        <v>60729</v>
      </c>
      <c r="B50">
        <v>5712</v>
      </c>
      <c r="C50">
        <v>92032</v>
      </c>
      <c r="D50">
        <v>49281</v>
      </c>
      <c r="E50">
        <v>42751</v>
      </c>
      <c r="F50">
        <v>39185</v>
      </c>
    </row>
    <row r="51" spans="1:6" x14ac:dyDescent="0.3">
      <c r="A51">
        <v>155510</v>
      </c>
      <c r="B51">
        <v>90762</v>
      </c>
      <c r="C51">
        <v>116563</v>
      </c>
      <c r="D51">
        <v>82373</v>
      </c>
      <c r="E51">
        <v>34190</v>
      </c>
      <c r="F51">
        <v>63452</v>
      </c>
    </row>
    <row r="52" spans="1:6" x14ac:dyDescent="0.3">
      <c r="A52">
        <v>79592</v>
      </c>
      <c r="B52">
        <v>58945</v>
      </c>
      <c r="C52">
        <v>87661</v>
      </c>
      <c r="D52">
        <v>2345</v>
      </c>
      <c r="E52">
        <v>85316</v>
      </c>
      <c r="F52">
        <v>-2023</v>
      </c>
    </row>
    <row r="53" spans="1:6" x14ac:dyDescent="0.3">
      <c r="A53">
        <v>120031</v>
      </c>
      <c r="B53">
        <v>54265</v>
      </c>
      <c r="C53">
        <v>87668</v>
      </c>
      <c r="D53">
        <v>40571</v>
      </c>
      <c r="E53">
        <v>47097</v>
      </c>
      <c r="F53">
        <v>25450</v>
      </c>
    </row>
    <row r="54" spans="1:6" x14ac:dyDescent="0.3">
      <c r="A54">
        <v>174862</v>
      </c>
      <c r="B54">
        <v>111941</v>
      </c>
      <c r="C54">
        <v>181667</v>
      </c>
      <c r="D54">
        <v>116367</v>
      </c>
      <c r="E54">
        <v>65300</v>
      </c>
      <c r="F54">
        <v>104460</v>
      </c>
    </row>
    <row r="55" spans="1:6" x14ac:dyDescent="0.3">
      <c r="A55">
        <v>145285</v>
      </c>
      <c r="B55">
        <v>119947</v>
      </c>
      <c r="C55">
        <v>207974</v>
      </c>
      <c r="D55">
        <v>112839</v>
      </c>
      <c r="E55">
        <v>95135</v>
      </c>
      <c r="F55">
        <v>107788</v>
      </c>
    </row>
    <row r="56" spans="1:6" x14ac:dyDescent="0.3">
      <c r="A56">
        <v>137235</v>
      </c>
      <c r="B56">
        <v>73214</v>
      </c>
      <c r="C56">
        <v>159626</v>
      </c>
      <c r="D56">
        <v>86291</v>
      </c>
      <c r="E56">
        <v>73335</v>
      </c>
      <c r="F56">
        <v>80149</v>
      </c>
    </row>
    <row r="57" spans="1:6" x14ac:dyDescent="0.3">
      <c r="A57">
        <v>123523</v>
      </c>
      <c r="B57">
        <v>96504</v>
      </c>
      <c r="C57">
        <v>200117</v>
      </c>
      <c r="D57">
        <v>111270</v>
      </c>
      <c r="E57">
        <v>88847</v>
      </c>
      <c r="F57">
        <v>92056</v>
      </c>
    </row>
    <row r="58" spans="1:6" x14ac:dyDescent="0.3">
      <c r="A58">
        <v>162566</v>
      </c>
      <c r="B58">
        <v>126621</v>
      </c>
      <c r="C58">
        <v>237473</v>
      </c>
      <c r="D58">
        <v>190256</v>
      </c>
      <c r="E58">
        <v>47217</v>
      </c>
      <c r="F58">
        <v>179948</v>
      </c>
    </row>
    <row r="59" spans="1:6" x14ac:dyDescent="0.3">
      <c r="A59">
        <v>182222</v>
      </c>
      <c r="B59">
        <v>105605</v>
      </c>
      <c r="C59">
        <v>220446</v>
      </c>
      <c r="D59">
        <v>188550</v>
      </c>
      <c r="E59">
        <v>31896</v>
      </c>
      <c r="F59">
        <v>173143</v>
      </c>
    </row>
    <row r="60" spans="1:6" x14ac:dyDescent="0.3">
      <c r="A60">
        <v>70056</v>
      </c>
      <c r="B60">
        <v>14513</v>
      </c>
      <c r="C60">
        <v>91069</v>
      </c>
      <c r="D60">
        <v>72726</v>
      </c>
      <c r="E60">
        <v>18343</v>
      </c>
      <c r="F60">
        <v>57226</v>
      </c>
    </row>
    <row r="61" spans="1:6" x14ac:dyDescent="0.3">
      <c r="A61">
        <v>163429</v>
      </c>
      <c r="B61">
        <v>93791</v>
      </c>
      <c r="C61">
        <v>187457</v>
      </c>
      <c r="D61">
        <v>105242</v>
      </c>
      <c r="E61">
        <v>82215</v>
      </c>
      <c r="F61">
        <v>99736</v>
      </c>
    </row>
    <row r="62" spans="1:6" x14ac:dyDescent="0.3">
      <c r="A62">
        <v>143468</v>
      </c>
      <c r="B62">
        <v>72079</v>
      </c>
      <c r="C62">
        <v>101514</v>
      </c>
      <c r="D62">
        <v>32174</v>
      </c>
      <c r="E62">
        <v>69340</v>
      </c>
      <c r="F62">
        <v>18864</v>
      </c>
    </row>
    <row r="63" spans="1:6" x14ac:dyDescent="0.3">
      <c r="A63">
        <v>93919</v>
      </c>
      <c r="B63">
        <v>48672</v>
      </c>
      <c r="C63">
        <v>163430</v>
      </c>
      <c r="D63">
        <v>85678</v>
      </c>
      <c r="E63">
        <v>77752</v>
      </c>
      <c r="F63">
        <v>79226</v>
      </c>
    </row>
    <row r="64" spans="1:6" x14ac:dyDescent="0.3">
      <c r="A64">
        <v>73049</v>
      </c>
      <c r="B64">
        <v>-5336</v>
      </c>
      <c r="C64">
        <v>54822</v>
      </c>
      <c r="D64">
        <v>-25595</v>
      </c>
      <c r="E64">
        <v>80417</v>
      </c>
      <c r="F64">
        <v>-39517</v>
      </c>
    </row>
    <row r="65" spans="1:6" x14ac:dyDescent="0.3">
      <c r="A65">
        <v>91975</v>
      </c>
      <c r="B65">
        <v>72435</v>
      </c>
      <c r="C65">
        <v>108799</v>
      </c>
      <c r="D65">
        <v>89188</v>
      </c>
      <c r="E65">
        <v>19611</v>
      </c>
      <c r="F65">
        <v>81310</v>
      </c>
    </row>
    <row r="66" spans="1:6" x14ac:dyDescent="0.3">
      <c r="A66">
        <v>141007</v>
      </c>
      <c r="B66">
        <v>70117</v>
      </c>
      <c r="C66">
        <v>156504</v>
      </c>
      <c r="D66">
        <v>123433</v>
      </c>
      <c r="E66">
        <v>33071</v>
      </c>
      <c r="F66">
        <v>114600</v>
      </c>
    </row>
    <row r="67" spans="1:6" x14ac:dyDescent="0.3">
      <c r="A67">
        <v>141680</v>
      </c>
      <c r="B67">
        <v>127680</v>
      </c>
      <c r="C67">
        <v>218268</v>
      </c>
      <c r="D67">
        <v>164964</v>
      </c>
      <c r="E67">
        <v>53304</v>
      </c>
      <c r="F67">
        <v>149485</v>
      </c>
    </row>
    <row r="68" spans="1:6" x14ac:dyDescent="0.3">
      <c r="A68">
        <v>158940</v>
      </c>
      <c r="B68">
        <v>110446</v>
      </c>
      <c r="C68">
        <v>133819</v>
      </c>
      <c r="D68">
        <v>106658</v>
      </c>
      <c r="E68">
        <v>27161</v>
      </c>
      <c r="F68">
        <v>102576</v>
      </c>
    </row>
    <row r="69" spans="1:6" x14ac:dyDescent="0.3">
      <c r="A69">
        <v>144297</v>
      </c>
      <c r="B69">
        <v>108946</v>
      </c>
      <c r="C69">
        <v>217614</v>
      </c>
      <c r="D69">
        <v>187309</v>
      </c>
      <c r="E69">
        <v>30305</v>
      </c>
      <c r="F69">
        <v>175492</v>
      </c>
    </row>
    <row r="70" spans="1:6" x14ac:dyDescent="0.3">
      <c r="A70">
        <v>107458</v>
      </c>
      <c r="B70">
        <v>77100</v>
      </c>
      <c r="C70">
        <v>100367</v>
      </c>
      <c r="D70">
        <v>2622</v>
      </c>
      <c r="E70">
        <v>97745</v>
      </c>
      <c r="F70">
        <v>-5123</v>
      </c>
    </row>
    <row r="71" spans="1:6" x14ac:dyDescent="0.3">
      <c r="A71">
        <v>57543</v>
      </c>
      <c r="B71">
        <v>14047</v>
      </c>
      <c r="C71">
        <v>94739</v>
      </c>
      <c r="D71">
        <v>35314</v>
      </c>
      <c r="E71">
        <v>59425</v>
      </c>
      <c r="F71">
        <v>27326</v>
      </c>
    </row>
    <row r="72" spans="1:6" x14ac:dyDescent="0.3">
      <c r="A72">
        <v>97295</v>
      </c>
      <c r="B72">
        <v>69340</v>
      </c>
      <c r="C72">
        <v>127181</v>
      </c>
      <c r="D72">
        <v>41541</v>
      </c>
      <c r="E72">
        <v>85640</v>
      </c>
      <c r="F72">
        <v>37398</v>
      </c>
    </row>
    <row r="73" spans="1:6" x14ac:dyDescent="0.3">
      <c r="A73">
        <v>111476</v>
      </c>
      <c r="B73">
        <v>56665</v>
      </c>
      <c r="C73">
        <v>112873</v>
      </c>
      <c r="D73">
        <v>77723</v>
      </c>
      <c r="E73">
        <v>35150</v>
      </c>
      <c r="F73">
        <v>70079</v>
      </c>
    </row>
    <row r="74" spans="1:6" x14ac:dyDescent="0.3">
      <c r="A74">
        <v>118450</v>
      </c>
      <c r="B74">
        <v>87098</v>
      </c>
      <c r="C74">
        <v>162167</v>
      </c>
      <c r="D74">
        <v>132770</v>
      </c>
      <c r="E74">
        <v>29397</v>
      </c>
      <c r="F74">
        <v>121983</v>
      </c>
    </row>
    <row r="75" spans="1:6" x14ac:dyDescent="0.3">
      <c r="A75">
        <v>116234</v>
      </c>
      <c r="B75">
        <v>66280</v>
      </c>
      <c r="C75">
        <v>133560</v>
      </c>
      <c r="D75">
        <v>39101</v>
      </c>
      <c r="E75">
        <v>94459</v>
      </c>
      <c r="F75">
        <v>20322</v>
      </c>
    </row>
    <row r="76" spans="1:6" x14ac:dyDescent="0.3">
      <c r="A76">
        <v>109163</v>
      </c>
      <c r="B76">
        <v>47229</v>
      </c>
      <c r="C76">
        <v>132124</v>
      </c>
      <c r="D76">
        <v>84817</v>
      </c>
      <c r="E76">
        <v>47307</v>
      </c>
      <c r="F76">
        <v>77331</v>
      </c>
    </row>
    <row r="77" spans="1:6" x14ac:dyDescent="0.3">
      <c r="A77">
        <v>152795</v>
      </c>
      <c r="B77">
        <v>131665</v>
      </c>
      <c r="C77">
        <v>239173</v>
      </c>
      <c r="D77">
        <v>163607</v>
      </c>
      <c r="E77">
        <v>75566</v>
      </c>
      <c r="F77">
        <v>160440</v>
      </c>
    </row>
    <row r="78" spans="1:6" x14ac:dyDescent="0.3">
      <c r="A78">
        <v>134076</v>
      </c>
      <c r="B78">
        <v>102531</v>
      </c>
      <c r="C78">
        <v>144220</v>
      </c>
      <c r="D78">
        <v>118046</v>
      </c>
      <c r="E78">
        <v>26174</v>
      </c>
      <c r="F78">
        <v>111317</v>
      </c>
    </row>
    <row r="79" spans="1:6" x14ac:dyDescent="0.3">
      <c r="A79">
        <v>88102</v>
      </c>
      <c r="B79">
        <v>71301</v>
      </c>
      <c r="C79">
        <v>163568</v>
      </c>
      <c r="D79">
        <v>100432</v>
      </c>
      <c r="E79">
        <v>63136</v>
      </c>
      <c r="F79">
        <v>81095</v>
      </c>
    </row>
    <row r="80" spans="1:6" x14ac:dyDescent="0.3">
      <c r="A80">
        <v>51542</v>
      </c>
      <c r="B80">
        <v>19865</v>
      </c>
      <c r="C80">
        <v>86597</v>
      </c>
      <c r="D80">
        <v>21254</v>
      </c>
      <c r="E80">
        <v>65343</v>
      </c>
      <c r="F80">
        <v>12941</v>
      </c>
    </row>
    <row r="81" spans="1:6" x14ac:dyDescent="0.3">
      <c r="A81">
        <v>69065</v>
      </c>
      <c r="B81">
        <v>4372</v>
      </c>
      <c r="C81">
        <v>51334</v>
      </c>
      <c r="D81">
        <v>8039</v>
      </c>
      <c r="E81">
        <v>43295</v>
      </c>
      <c r="F81">
        <v>-7768</v>
      </c>
    </row>
    <row r="82" spans="1:6" x14ac:dyDescent="0.3">
      <c r="A82">
        <v>182396</v>
      </c>
      <c r="B82">
        <v>136487</v>
      </c>
      <c r="C82">
        <v>245826</v>
      </c>
      <c r="D82">
        <v>210956</v>
      </c>
      <c r="E82">
        <v>34870</v>
      </c>
      <c r="F82">
        <v>207146</v>
      </c>
    </row>
    <row r="83" spans="1:6" x14ac:dyDescent="0.3">
      <c r="A83">
        <v>168874</v>
      </c>
      <c r="B83">
        <v>133585</v>
      </c>
      <c r="C83">
        <v>208714</v>
      </c>
      <c r="D83">
        <v>178229</v>
      </c>
      <c r="E83">
        <v>30485</v>
      </c>
      <c r="F83">
        <v>164515</v>
      </c>
    </row>
    <row r="84" spans="1:6" x14ac:dyDescent="0.3">
      <c r="A84">
        <v>173961</v>
      </c>
      <c r="B84">
        <v>133606</v>
      </c>
      <c r="C84">
        <v>209377</v>
      </c>
      <c r="D84">
        <v>136578</v>
      </c>
      <c r="E84">
        <v>72799</v>
      </c>
      <c r="F84">
        <v>121462</v>
      </c>
    </row>
    <row r="85" spans="1:6" x14ac:dyDescent="0.3">
      <c r="A85">
        <v>92918</v>
      </c>
      <c r="B85">
        <v>30694</v>
      </c>
      <c r="C85">
        <v>89992</v>
      </c>
      <c r="D85">
        <v>-5227</v>
      </c>
      <c r="E85">
        <v>95219</v>
      </c>
      <c r="F85">
        <v>-7731</v>
      </c>
    </row>
    <row r="86" spans="1:6" x14ac:dyDescent="0.3">
      <c r="A86">
        <v>73960</v>
      </c>
      <c r="B86">
        <v>30369</v>
      </c>
      <c r="C86">
        <v>133217</v>
      </c>
      <c r="D86">
        <v>50576</v>
      </c>
      <c r="E86">
        <v>82641</v>
      </c>
      <c r="F86">
        <v>44949</v>
      </c>
    </row>
    <row r="87" spans="1:6" x14ac:dyDescent="0.3">
      <c r="A87">
        <v>84620</v>
      </c>
      <c r="B87">
        <v>54061</v>
      </c>
      <c r="C87">
        <v>167106</v>
      </c>
      <c r="D87">
        <v>90464</v>
      </c>
      <c r="E87">
        <v>76642</v>
      </c>
      <c r="F87">
        <v>77461</v>
      </c>
    </row>
    <row r="88" spans="1:6" x14ac:dyDescent="0.3">
      <c r="A88">
        <v>63843</v>
      </c>
      <c r="B88">
        <v>36203</v>
      </c>
      <c r="C88">
        <v>108731</v>
      </c>
      <c r="D88">
        <v>55318</v>
      </c>
      <c r="E88">
        <v>53413</v>
      </c>
      <c r="F88">
        <v>43730</v>
      </c>
    </row>
    <row r="89" spans="1:6" x14ac:dyDescent="0.3">
      <c r="A89">
        <v>188186</v>
      </c>
      <c r="B89">
        <v>167211</v>
      </c>
      <c r="C89">
        <v>198234</v>
      </c>
      <c r="D89">
        <v>161787</v>
      </c>
      <c r="E89">
        <v>36447</v>
      </c>
      <c r="F89">
        <v>159120</v>
      </c>
    </row>
    <row r="90" spans="1:6" x14ac:dyDescent="0.3">
      <c r="A90">
        <v>96427</v>
      </c>
      <c r="B90">
        <v>24898</v>
      </c>
      <c r="C90">
        <v>129563</v>
      </c>
      <c r="D90">
        <v>82642</v>
      </c>
      <c r="E90">
        <v>46921</v>
      </c>
      <c r="F90">
        <v>80103</v>
      </c>
    </row>
    <row r="91" spans="1:6" x14ac:dyDescent="0.3">
      <c r="A91">
        <v>54835</v>
      </c>
      <c r="B91">
        <v>24676</v>
      </c>
      <c r="C91">
        <v>92281</v>
      </c>
      <c r="D91">
        <v>39193</v>
      </c>
      <c r="E91">
        <v>53088</v>
      </c>
      <c r="F91">
        <v>23977</v>
      </c>
    </row>
    <row r="92" spans="1:6" x14ac:dyDescent="0.3">
      <c r="A92">
        <v>147007</v>
      </c>
      <c r="B92">
        <v>109475</v>
      </c>
      <c r="C92">
        <v>163824</v>
      </c>
      <c r="D92">
        <v>103379</v>
      </c>
      <c r="E92">
        <v>60445</v>
      </c>
      <c r="F92">
        <v>95666</v>
      </c>
    </row>
    <row r="93" spans="1:6" x14ac:dyDescent="0.3">
      <c r="A93">
        <v>179473</v>
      </c>
      <c r="B93">
        <v>103928</v>
      </c>
      <c r="C93">
        <v>208719</v>
      </c>
      <c r="D93">
        <v>135578</v>
      </c>
      <c r="E93">
        <v>73141</v>
      </c>
      <c r="F93">
        <v>128454</v>
      </c>
    </row>
    <row r="94" spans="1:6" x14ac:dyDescent="0.3">
      <c r="A94">
        <v>111813</v>
      </c>
      <c r="B94">
        <v>74101</v>
      </c>
      <c r="C94">
        <v>102516</v>
      </c>
      <c r="D94">
        <v>25224</v>
      </c>
      <c r="E94">
        <v>77292</v>
      </c>
      <c r="F94">
        <v>19066</v>
      </c>
    </row>
    <row r="95" spans="1:6" x14ac:dyDescent="0.3">
      <c r="A95">
        <v>56970</v>
      </c>
      <c r="B95">
        <v>430</v>
      </c>
      <c r="C95">
        <v>40814</v>
      </c>
      <c r="D95">
        <v>7797</v>
      </c>
      <c r="E95">
        <v>33017</v>
      </c>
      <c r="F95">
        <v>-4547</v>
      </c>
    </row>
    <row r="96" spans="1:6" x14ac:dyDescent="0.3">
      <c r="A96">
        <v>181456</v>
      </c>
      <c r="B96">
        <v>171052</v>
      </c>
      <c r="C96">
        <v>231995</v>
      </c>
      <c r="D96">
        <v>169069</v>
      </c>
      <c r="E96">
        <v>62926</v>
      </c>
      <c r="F96">
        <v>154306</v>
      </c>
    </row>
    <row r="97" spans="1:6" x14ac:dyDescent="0.3">
      <c r="A97">
        <v>130642</v>
      </c>
      <c r="B97">
        <v>70030</v>
      </c>
      <c r="C97">
        <v>113604</v>
      </c>
      <c r="D97">
        <v>75080</v>
      </c>
      <c r="E97">
        <v>38524</v>
      </c>
      <c r="F97">
        <v>69444</v>
      </c>
    </row>
    <row r="98" spans="1:6" x14ac:dyDescent="0.3">
      <c r="A98">
        <v>194528</v>
      </c>
      <c r="B98">
        <v>128131</v>
      </c>
      <c r="C98">
        <v>186896</v>
      </c>
      <c r="D98">
        <v>137080</v>
      </c>
      <c r="E98">
        <v>49816</v>
      </c>
      <c r="F98">
        <v>122742</v>
      </c>
    </row>
    <row r="99" spans="1:6" x14ac:dyDescent="0.3">
      <c r="A99">
        <v>107091</v>
      </c>
      <c r="B99">
        <v>75142</v>
      </c>
      <c r="C99">
        <v>165222</v>
      </c>
      <c r="D99">
        <v>112478</v>
      </c>
      <c r="E99">
        <v>52744</v>
      </c>
      <c r="F99">
        <v>97703</v>
      </c>
    </row>
    <row r="100" spans="1:6" x14ac:dyDescent="0.3">
      <c r="A100">
        <v>86187</v>
      </c>
      <c r="B100">
        <v>68948</v>
      </c>
      <c r="C100">
        <v>103437</v>
      </c>
      <c r="D100">
        <v>30420</v>
      </c>
      <c r="E100">
        <v>73017</v>
      </c>
      <c r="F100">
        <v>18063</v>
      </c>
    </row>
    <row r="101" spans="1:6" x14ac:dyDescent="0.3">
      <c r="A101">
        <v>87131</v>
      </c>
      <c r="B101">
        <v>34187</v>
      </c>
      <c r="C101">
        <v>128150</v>
      </c>
      <c r="D101">
        <v>88865</v>
      </c>
      <c r="E101">
        <v>39285</v>
      </c>
      <c r="F101">
        <v>82007</v>
      </c>
    </row>
    <row r="102" spans="1:6" x14ac:dyDescent="0.3">
      <c r="A102">
        <v>69198</v>
      </c>
      <c r="B102">
        <v>39440</v>
      </c>
      <c r="C102">
        <v>74694</v>
      </c>
      <c r="D102">
        <v>15456</v>
      </c>
      <c r="E102">
        <v>59238</v>
      </c>
      <c r="F102">
        <v>12204</v>
      </c>
    </row>
    <row r="103" spans="1:6" x14ac:dyDescent="0.3">
      <c r="A103">
        <v>103682</v>
      </c>
      <c r="B103">
        <v>34188</v>
      </c>
      <c r="C103">
        <v>135505</v>
      </c>
      <c r="D103">
        <v>55290</v>
      </c>
      <c r="E103">
        <v>80215</v>
      </c>
      <c r="F103">
        <v>40239</v>
      </c>
    </row>
    <row r="104" spans="1:6" x14ac:dyDescent="0.3">
      <c r="A104">
        <v>105393</v>
      </c>
      <c r="B104">
        <v>88452</v>
      </c>
      <c r="C104">
        <v>134386</v>
      </c>
      <c r="D104">
        <v>96000</v>
      </c>
      <c r="E104">
        <v>38386</v>
      </c>
      <c r="F104">
        <v>83791</v>
      </c>
    </row>
    <row r="105" spans="1:6" x14ac:dyDescent="0.3">
      <c r="A105">
        <v>103413</v>
      </c>
      <c r="B105">
        <v>36613</v>
      </c>
      <c r="C105">
        <v>153852</v>
      </c>
      <c r="D105">
        <v>96534</v>
      </c>
      <c r="E105">
        <v>57318</v>
      </c>
      <c r="F105">
        <v>89897</v>
      </c>
    </row>
    <row r="106" spans="1:6" x14ac:dyDescent="0.3">
      <c r="A106">
        <v>93088</v>
      </c>
      <c r="B106">
        <v>43277</v>
      </c>
      <c r="C106">
        <v>118756</v>
      </c>
      <c r="D106">
        <v>83793</v>
      </c>
      <c r="E106">
        <v>34963</v>
      </c>
      <c r="F106">
        <v>77629</v>
      </c>
    </row>
    <row r="107" spans="1:6" x14ac:dyDescent="0.3">
      <c r="A107">
        <v>55569</v>
      </c>
      <c r="B107">
        <v>-24267</v>
      </c>
      <c r="C107">
        <v>32319</v>
      </c>
      <c r="D107">
        <v>5304</v>
      </c>
      <c r="E107">
        <v>27015</v>
      </c>
      <c r="F107">
        <v>-8930</v>
      </c>
    </row>
    <row r="108" spans="1:6" x14ac:dyDescent="0.3">
      <c r="A108">
        <v>198216</v>
      </c>
      <c r="B108">
        <v>164002</v>
      </c>
      <c r="C108">
        <v>264721</v>
      </c>
      <c r="D108">
        <v>177947</v>
      </c>
      <c r="E108">
        <v>86774</v>
      </c>
      <c r="F108">
        <v>169857</v>
      </c>
    </row>
    <row r="109" spans="1:6" x14ac:dyDescent="0.3">
      <c r="A109">
        <v>74071</v>
      </c>
      <c r="B109">
        <v>5828</v>
      </c>
      <c r="C109">
        <v>67068</v>
      </c>
      <c r="D109">
        <v>-31739</v>
      </c>
      <c r="E109">
        <v>98807</v>
      </c>
      <c r="F109">
        <v>-37005</v>
      </c>
    </row>
    <row r="110" spans="1:6" x14ac:dyDescent="0.3">
      <c r="A110">
        <v>78732</v>
      </c>
      <c r="B110">
        <v>57418</v>
      </c>
      <c r="C110">
        <v>101372</v>
      </c>
      <c r="D110">
        <v>29264</v>
      </c>
      <c r="E110">
        <v>72108</v>
      </c>
      <c r="F110">
        <v>14373</v>
      </c>
    </row>
    <row r="111" spans="1:6" x14ac:dyDescent="0.3">
      <c r="A111">
        <v>129252</v>
      </c>
      <c r="B111">
        <v>79503</v>
      </c>
      <c r="C111">
        <v>116410</v>
      </c>
      <c r="D111">
        <v>82633</v>
      </c>
      <c r="E111">
        <v>33777</v>
      </c>
      <c r="F111">
        <v>70473</v>
      </c>
    </row>
    <row r="112" spans="1:6" x14ac:dyDescent="0.3">
      <c r="A112">
        <v>162428</v>
      </c>
      <c r="B112">
        <v>128804</v>
      </c>
      <c r="C112">
        <v>172125</v>
      </c>
      <c r="D112">
        <v>146637</v>
      </c>
      <c r="E112">
        <v>25488</v>
      </c>
      <c r="F112">
        <v>139397</v>
      </c>
    </row>
    <row r="113" spans="1:6" x14ac:dyDescent="0.3">
      <c r="A113">
        <v>168831</v>
      </c>
      <c r="B113">
        <v>106035</v>
      </c>
      <c r="C113">
        <v>130467</v>
      </c>
      <c r="D113">
        <v>51176</v>
      </c>
      <c r="E113">
        <v>79291</v>
      </c>
      <c r="F113">
        <v>35608</v>
      </c>
    </row>
    <row r="114" spans="1:6" x14ac:dyDescent="0.3">
      <c r="A114">
        <v>100428</v>
      </c>
      <c r="B114">
        <v>90126</v>
      </c>
      <c r="C114">
        <v>192684</v>
      </c>
      <c r="D114">
        <v>177629</v>
      </c>
      <c r="E114">
        <v>15055</v>
      </c>
      <c r="F114">
        <v>162616</v>
      </c>
    </row>
    <row r="115" spans="1:6" x14ac:dyDescent="0.3">
      <c r="A115">
        <v>78699</v>
      </c>
      <c r="B115">
        <v>1038</v>
      </c>
      <c r="C115">
        <v>65285</v>
      </c>
      <c r="D115">
        <v>33537</v>
      </c>
      <c r="E115">
        <v>31748</v>
      </c>
      <c r="F115">
        <v>24728</v>
      </c>
    </row>
    <row r="116" spans="1:6" x14ac:dyDescent="0.3">
      <c r="A116">
        <v>186198</v>
      </c>
      <c r="B116">
        <v>171076</v>
      </c>
      <c r="C116">
        <v>209106</v>
      </c>
      <c r="D116">
        <v>111268</v>
      </c>
      <c r="E116">
        <v>97838</v>
      </c>
      <c r="F116">
        <v>103398</v>
      </c>
    </row>
    <row r="117" spans="1:6" x14ac:dyDescent="0.3">
      <c r="A117">
        <v>168033</v>
      </c>
      <c r="B117">
        <v>123359</v>
      </c>
      <c r="C117">
        <v>179213</v>
      </c>
      <c r="D117">
        <v>117942</v>
      </c>
      <c r="E117">
        <v>61271</v>
      </c>
      <c r="F117">
        <v>107790</v>
      </c>
    </row>
    <row r="118" spans="1:6" x14ac:dyDescent="0.3">
      <c r="A118">
        <v>191339</v>
      </c>
      <c r="B118">
        <v>180277</v>
      </c>
      <c r="C118">
        <v>250725</v>
      </c>
      <c r="D118">
        <v>229496</v>
      </c>
      <c r="E118">
        <v>21229</v>
      </c>
      <c r="F118">
        <v>210987</v>
      </c>
    </row>
    <row r="119" spans="1:6" x14ac:dyDescent="0.3">
      <c r="A119">
        <v>154592</v>
      </c>
      <c r="B119">
        <v>140996</v>
      </c>
      <c r="C119">
        <v>167164</v>
      </c>
      <c r="D119">
        <v>144603</v>
      </c>
      <c r="E119">
        <v>22561</v>
      </c>
      <c r="F119">
        <v>134345</v>
      </c>
    </row>
    <row r="120" spans="1:6" x14ac:dyDescent="0.3">
      <c r="A120">
        <v>174049</v>
      </c>
      <c r="B120">
        <v>137315</v>
      </c>
      <c r="C120">
        <v>163686</v>
      </c>
      <c r="D120">
        <v>122617</v>
      </c>
      <c r="E120">
        <v>41069</v>
      </c>
      <c r="F120">
        <v>106248</v>
      </c>
    </row>
    <row r="121" spans="1:6" x14ac:dyDescent="0.3">
      <c r="A121">
        <v>131264</v>
      </c>
      <c r="B121">
        <v>97989</v>
      </c>
      <c r="C121">
        <v>190263</v>
      </c>
      <c r="D121">
        <v>93814</v>
      </c>
      <c r="E121">
        <v>96449</v>
      </c>
      <c r="F121">
        <v>89342</v>
      </c>
    </row>
    <row r="122" spans="1:6" x14ac:dyDescent="0.3">
      <c r="A122">
        <v>98447</v>
      </c>
      <c r="B122">
        <v>53918</v>
      </c>
      <c r="C122">
        <v>149621</v>
      </c>
      <c r="D122">
        <v>58531</v>
      </c>
      <c r="E122">
        <v>91090</v>
      </c>
      <c r="F122">
        <v>39271</v>
      </c>
    </row>
    <row r="123" spans="1:6" x14ac:dyDescent="0.3">
      <c r="A123">
        <v>166148</v>
      </c>
      <c r="B123">
        <v>128863</v>
      </c>
      <c r="C123">
        <v>241299</v>
      </c>
      <c r="D123">
        <v>224694</v>
      </c>
      <c r="E123">
        <v>16605</v>
      </c>
      <c r="F123">
        <v>217072</v>
      </c>
    </row>
    <row r="124" spans="1:6" x14ac:dyDescent="0.3">
      <c r="A124">
        <v>126125</v>
      </c>
      <c r="B124">
        <v>102207</v>
      </c>
      <c r="C124">
        <v>207862</v>
      </c>
      <c r="D124">
        <v>165416</v>
      </c>
      <c r="E124">
        <v>42446</v>
      </c>
      <c r="F124">
        <v>150370</v>
      </c>
    </row>
    <row r="125" spans="1:6" x14ac:dyDescent="0.3">
      <c r="A125">
        <v>54324</v>
      </c>
      <c r="B125">
        <v>35213</v>
      </c>
      <c r="C125">
        <v>93323</v>
      </c>
      <c r="D125">
        <v>61934</v>
      </c>
      <c r="E125">
        <v>31389</v>
      </c>
      <c r="F125">
        <v>51275</v>
      </c>
    </row>
    <row r="126" spans="1:6" x14ac:dyDescent="0.3">
      <c r="A126">
        <v>181189</v>
      </c>
      <c r="B126">
        <v>157955</v>
      </c>
      <c r="C126">
        <v>231396</v>
      </c>
      <c r="D126">
        <v>215550</v>
      </c>
      <c r="E126">
        <v>15846</v>
      </c>
      <c r="F126">
        <v>202596</v>
      </c>
    </row>
    <row r="127" spans="1:6" x14ac:dyDescent="0.3">
      <c r="A127">
        <v>96514</v>
      </c>
      <c r="B127">
        <v>80045</v>
      </c>
      <c r="C127">
        <v>130150</v>
      </c>
      <c r="D127">
        <v>73049</v>
      </c>
      <c r="E127">
        <v>57101</v>
      </c>
      <c r="F127">
        <v>54441</v>
      </c>
    </row>
    <row r="128" spans="1:6" x14ac:dyDescent="0.3">
      <c r="A128">
        <v>177534</v>
      </c>
      <c r="B128">
        <v>99950</v>
      </c>
      <c r="C128">
        <v>198427</v>
      </c>
      <c r="D128">
        <v>140894</v>
      </c>
      <c r="E128">
        <v>57533</v>
      </c>
      <c r="F128">
        <v>292359</v>
      </c>
    </row>
    <row r="129" spans="1:6" x14ac:dyDescent="0.3">
      <c r="A129">
        <v>82254</v>
      </c>
      <c r="B129">
        <v>24892</v>
      </c>
      <c r="C129">
        <v>65020</v>
      </c>
      <c r="D129">
        <v>-9363</v>
      </c>
      <c r="E129">
        <v>74383</v>
      </c>
      <c r="F129">
        <v>-11372</v>
      </c>
    </row>
    <row r="130" spans="1:6" x14ac:dyDescent="0.3">
      <c r="A130">
        <v>190937</v>
      </c>
      <c r="B130">
        <v>178718</v>
      </c>
      <c r="C130">
        <v>238527</v>
      </c>
      <c r="D130">
        <v>218240</v>
      </c>
      <c r="E130">
        <v>20287</v>
      </c>
      <c r="F130">
        <v>214621</v>
      </c>
    </row>
    <row r="131" spans="1:6" x14ac:dyDescent="0.3">
      <c r="A131">
        <v>158872</v>
      </c>
      <c r="B131">
        <v>129656</v>
      </c>
      <c r="C131">
        <v>242726</v>
      </c>
      <c r="D131">
        <v>147959</v>
      </c>
      <c r="E131">
        <v>94767</v>
      </c>
      <c r="F131">
        <v>142469</v>
      </c>
    </row>
    <row r="132" spans="1:6" x14ac:dyDescent="0.3">
      <c r="A132">
        <v>156288</v>
      </c>
      <c r="B132">
        <v>134069</v>
      </c>
      <c r="C132">
        <v>154304</v>
      </c>
      <c r="D132">
        <v>96375</v>
      </c>
      <c r="E132">
        <v>57929</v>
      </c>
      <c r="F132">
        <v>92467</v>
      </c>
    </row>
    <row r="133" spans="1:6" x14ac:dyDescent="0.3">
      <c r="A133">
        <v>134555</v>
      </c>
      <c r="B133">
        <v>119140</v>
      </c>
      <c r="C133">
        <v>175299</v>
      </c>
      <c r="D133">
        <v>116374</v>
      </c>
      <c r="E133">
        <v>58925</v>
      </c>
      <c r="F133">
        <v>108423</v>
      </c>
    </row>
    <row r="134" spans="1:6" x14ac:dyDescent="0.3">
      <c r="A134">
        <v>108596</v>
      </c>
      <c r="B134">
        <v>68073</v>
      </c>
      <c r="C134">
        <v>176934</v>
      </c>
      <c r="D134">
        <v>146410</v>
      </c>
      <c r="E134">
        <v>30524</v>
      </c>
      <c r="F134">
        <v>144333</v>
      </c>
    </row>
    <row r="135" spans="1:6" x14ac:dyDescent="0.3">
      <c r="A135">
        <v>93303</v>
      </c>
      <c r="B135">
        <v>24096</v>
      </c>
      <c r="C135">
        <v>119142</v>
      </c>
      <c r="D135">
        <v>74855</v>
      </c>
      <c r="E135">
        <v>44287</v>
      </c>
      <c r="F135">
        <v>65912</v>
      </c>
    </row>
    <row r="136" spans="1:6" x14ac:dyDescent="0.3">
      <c r="A136">
        <v>152974</v>
      </c>
      <c r="B136">
        <v>124400</v>
      </c>
      <c r="C136">
        <v>153584</v>
      </c>
      <c r="D136">
        <v>119488</v>
      </c>
      <c r="E136">
        <v>34096</v>
      </c>
      <c r="F136">
        <v>115296</v>
      </c>
    </row>
    <row r="137" spans="1:6" x14ac:dyDescent="0.3">
      <c r="A137">
        <v>199453</v>
      </c>
      <c r="B137">
        <v>152998</v>
      </c>
      <c r="C137">
        <v>265261</v>
      </c>
      <c r="D137">
        <v>246243</v>
      </c>
      <c r="E137">
        <v>19018</v>
      </c>
      <c r="F137">
        <v>232941</v>
      </c>
    </row>
    <row r="138" spans="1:6" x14ac:dyDescent="0.3">
      <c r="A138">
        <v>146646</v>
      </c>
      <c r="B138">
        <v>112127</v>
      </c>
      <c r="C138">
        <v>228936</v>
      </c>
      <c r="D138">
        <v>157117</v>
      </c>
      <c r="E138">
        <v>71819</v>
      </c>
      <c r="F138">
        <v>139743</v>
      </c>
    </row>
    <row r="139" spans="1:6" x14ac:dyDescent="0.3">
      <c r="A139">
        <v>75053</v>
      </c>
      <c r="B139">
        <v>55607</v>
      </c>
      <c r="C139">
        <v>76529</v>
      </c>
      <c r="D139">
        <v>10173</v>
      </c>
      <c r="E139">
        <v>66356</v>
      </c>
      <c r="F139">
        <v>-2616</v>
      </c>
    </row>
    <row r="140" spans="1:6" x14ac:dyDescent="0.3">
      <c r="A140">
        <v>82154</v>
      </c>
      <c r="B140">
        <v>69818</v>
      </c>
      <c r="C140">
        <v>157597</v>
      </c>
      <c r="D140">
        <v>123568</v>
      </c>
      <c r="E140">
        <v>34029</v>
      </c>
      <c r="F140">
        <v>116956</v>
      </c>
    </row>
    <row r="141" spans="1:6" x14ac:dyDescent="0.3">
      <c r="A141">
        <v>96197</v>
      </c>
      <c r="B141">
        <v>31017</v>
      </c>
      <c r="C141">
        <v>74727</v>
      </c>
      <c r="D141">
        <v>30241</v>
      </c>
      <c r="E141">
        <v>44486</v>
      </c>
      <c r="F141">
        <v>21870</v>
      </c>
    </row>
    <row r="142" spans="1:6" x14ac:dyDescent="0.3">
      <c r="A142">
        <v>90631</v>
      </c>
      <c r="B142">
        <v>60528</v>
      </c>
      <c r="C142">
        <v>145300</v>
      </c>
      <c r="D142">
        <v>115918</v>
      </c>
      <c r="E142">
        <v>29382</v>
      </c>
      <c r="F142">
        <v>111027</v>
      </c>
    </row>
    <row r="143" spans="1:6" x14ac:dyDescent="0.3">
      <c r="A143">
        <v>197550</v>
      </c>
      <c r="B143">
        <v>147884</v>
      </c>
      <c r="C143">
        <v>243567</v>
      </c>
      <c r="D143">
        <v>157252</v>
      </c>
      <c r="E143">
        <v>86315</v>
      </c>
      <c r="F143">
        <v>142954</v>
      </c>
    </row>
    <row r="144" spans="1:6" x14ac:dyDescent="0.3">
      <c r="A144">
        <v>126325</v>
      </c>
      <c r="B144">
        <v>103326</v>
      </c>
      <c r="C144">
        <v>178644</v>
      </c>
      <c r="D144">
        <v>162830</v>
      </c>
      <c r="E144">
        <v>15814</v>
      </c>
      <c r="F144">
        <v>144101</v>
      </c>
    </row>
    <row r="145" spans="1:6" x14ac:dyDescent="0.3">
      <c r="A145">
        <v>183515</v>
      </c>
      <c r="B145">
        <v>156147</v>
      </c>
      <c r="C145">
        <v>191475</v>
      </c>
      <c r="D145">
        <v>119533</v>
      </c>
      <c r="E145">
        <v>71942</v>
      </c>
      <c r="F145">
        <v>116706</v>
      </c>
    </row>
    <row r="146" spans="1:6" x14ac:dyDescent="0.3">
      <c r="A146">
        <v>87219</v>
      </c>
      <c r="B146">
        <v>12575</v>
      </c>
      <c r="C146">
        <v>92854</v>
      </c>
      <c r="D146">
        <v>24826</v>
      </c>
      <c r="E146">
        <v>68028</v>
      </c>
      <c r="F146">
        <v>16867</v>
      </c>
    </row>
    <row r="147" spans="1:6" x14ac:dyDescent="0.3">
      <c r="A147">
        <v>77632</v>
      </c>
      <c r="B147">
        <v>2322</v>
      </c>
      <c r="C147">
        <v>77498</v>
      </c>
      <c r="D147">
        <v>18171</v>
      </c>
      <c r="E147">
        <v>59327</v>
      </c>
      <c r="F147">
        <v>12803</v>
      </c>
    </row>
    <row r="148" spans="1:6" x14ac:dyDescent="0.3">
      <c r="A148">
        <v>84560</v>
      </c>
      <c r="B148">
        <v>52444</v>
      </c>
      <c r="C148">
        <v>108688</v>
      </c>
      <c r="D148">
        <v>92043</v>
      </c>
      <c r="E148">
        <v>16645</v>
      </c>
      <c r="F148">
        <v>75288</v>
      </c>
    </row>
    <row r="149" spans="1:6" x14ac:dyDescent="0.3">
      <c r="A149">
        <v>150158</v>
      </c>
      <c r="B149">
        <v>86985</v>
      </c>
      <c r="C149">
        <v>144415</v>
      </c>
      <c r="D149">
        <v>90133</v>
      </c>
      <c r="E149">
        <v>54282</v>
      </c>
      <c r="F149">
        <v>85425</v>
      </c>
    </row>
    <row r="150" spans="1:6" x14ac:dyDescent="0.3">
      <c r="A150">
        <v>107545</v>
      </c>
      <c r="B150">
        <v>58321</v>
      </c>
      <c r="C150">
        <v>176266</v>
      </c>
      <c r="D150">
        <v>148042</v>
      </c>
      <c r="E150">
        <v>28224</v>
      </c>
      <c r="F150">
        <v>138072</v>
      </c>
    </row>
    <row r="151" spans="1:6" x14ac:dyDescent="0.3">
      <c r="A151">
        <v>189649</v>
      </c>
      <c r="B151">
        <v>171579</v>
      </c>
      <c r="C151">
        <v>200245</v>
      </c>
      <c r="D151">
        <v>127484</v>
      </c>
      <c r="E151">
        <v>72761</v>
      </c>
      <c r="F151">
        <v>121884</v>
      </c>
    </row>
    <row r="152" spans="1:6" x14ac:dyDescent="0.3">
      <c r="A152">
        <v>91914</v>
      </c>
      <c r="B152">
        <v>14388</v>
      </c>
      <c r="C152">
        <v>105223</v>
      </c>
      <c r="D152">
        <v>44458</v>
      </c>
      <c r="E152">
        <v>60765</v>
      </c>
      <c r="F152">
        <v>28986</v>
      </c>
    </row>
    <row r="153" spans="1:6" x14ac:dyDescent="0.3">
      <c r="A153">
        <v>54757</v>
      </c>
      <c r="B153">
        <v>25660</v>
      </c>
      <c r="C153">
        <v>56055</v>
      </c>
      <c r="D153">
        <v>24814</v>
      </c>
      <c r="E153">
        <v>31241</v>
      </c>
      <c r="F153">
        <v>17226</v>
      </c>
    </row>
    <row r="154" spans="1:6" x14ac:dyDescent="0.3">
      <c r="A154">
        <v>120480</v>
      </c>
      <c r="B154">
        <v>64317</v>
      </c>
      <c r="C154">
        <v>104133</v>
      </c>
      <c r="D154">
        <v>39293</v>
      </c>
      <c r="E154">
        <v>64840</v>
      </c>
      <c r="F154">
        <v>33050</v>
      </c>
    </row>
    <row r="155" spans="1:6" x14ac:dyDescent="0.3">
      <c r="A155">
        <v>146731</v>
      </c>
      <c r="B155">
        <v>115165</v>
      </c>
      <c r="C155">
        <v>210617</v>
      </c>
      <c r="D155">
        <v>132794</v>
      </c>
      <c r="E155">
        <v>77823</v>
      </c>
      <c r="F155">
        <v>120810</v>
      </c>
    </row>
    <row r="156" spans="1:6" x14ac:dyDescent="0.3">
      <c r="A156">
        <v>142374</v>
      </c>
      <c r="B156">
        <v>129892</v>
      </c>
      <c r="C156">
        <v>174334</v>
      </c>
      <c r="D156">
        <v>125615</v>
      </c>
      <c r="E156">
        <v>48719</v>
      </c>
      <c r="F156">
        <v>121536</v>
      </c>
    </row>
    <row r="157" spans="1:6" x14ac:dyDescent="0.3">
      <c r="A157">
        <v>140397</v>
      </c>
      <c r="B157">
        <v>111948</v>
      </c>
      <c r="C157">
        <v>165484</v>
      </c>
      <c r="D157">
        <v>86407</v>
      </c>
      <c r="E157">
        <v>79077</v>
      </c>
      <c r="F157">
        <v>78917</v>
      </c>
    </row>
    <row r="158" spans="1:6" x14ac:dyDescent="0.3">
      <c r="A158">
        <v>187717</v>
      </c>
      <c r="B158">
        <v>139717</v>
      </c>
      <c r="C158">
        <v>186454</v>
      </c>
      <c r="D158">
        <v>159969</v>
      </c>
      <c r="E158">
        <v>26485</v>
      </c>
      <c r="F158">
        <v>152172</v>
      </c>
    </row>
    <row r="159" spans="1:6" x14ac:dyDescent="0.3">
      <c r="A159">
        <v>102487</v>
      </c>
      <c r="B159">
        <v>80145</v>
      </c>
      <c r="C159">
        <v>140951</v>
      </c>
      <c r="D159">
        <v>77181</v>
      </c>
      <c r="E159">
        <v>63770</v>
      </c>
      <c r="F159">
        <v>62094</v>
      </c>
    </row>
    <row r="160" spans="1:6" x14ac:dyDescent="0.3">
      <c r="A160">
        <v>181026</v>
      </c>
      <c r="B160">
        <v>118423</v>
      </c>
      <c r="C160">
        <v>220397</v>
      </c>
      <c r="D160">
        <v>178998</v>
      </c>
      <c r="E160">
        <v>41399</v>
      </c>
      <c r="F160">
        <v>161290</v>
      </c>
    </row>
    <row r="161" spans="1:6" x14ac:dyDescent="0.3">
      <c r="A161">
        <v>80678</v>
      </c>
      <c r="B161">
        <v>7448</v>
      </c>
      <c r="C161">
        <v>101503</v>
      </c>
      <c r="D161">
        <v>30130</v>
      </c>
      <c r="E161">
        <v>71373</v>
      </c>
      <c r="F161">
        <v>24830</v>
      </c>
    </row>
    <row r="162" spans="1:6" x14ac:dyDescent="0.3">
      <c r="A162">
        <v>135595</v>
      </c>
      <c r="B162">
        <v>60666</v>
      </c>
      <c r="C162">
        <v>154172</v>
      </c>
      <c r="D162">
        <v>104261</v>
      </c>
      <c r="E162">
        <v>49911</v>
      </c>
      <c r="F162">
        <v>92758</v>
      </c>
    </row>
    <row r="163" spans="1:6" x14ac:dyDescent="0.3">
      <c r="A163">
        <v>134458</v>
      </c>
      <c r="B163">
        <v>112283</v>
      </c>
      <c r="C163">
        <v>187054</v>
      </c>
      <c r="D163">
        <v>105696</v>
      </c>
      <c r="E163">
        <v>81358</v>
      </c>
      <c r="F163">
        <v>86369</v>
      </c>
    </row>
    <row r="164" spans="1:6" x14ac:dyDescent="0.3">
      <c r="A164">
        <v>54425</v>
      </c>
      <c r="B164">
        <v>28393</v>
      </c>
      <c r="C164">
        <v>50591</v>
      </c>
      <c r="D164">
        <v>-24909</v>
      </c>
      <c r="E164">
        <v>75500</v>
      </c>
      <c r="F164">
        <v>-30361</v>
      </c>
    </row>
    <row r="165" spans="1:6" x14ac:dyDescent="0.3">
      <c r="A165">
        <v>168865</v>
      </c>
      <c r="B165">
        <v>150160</v>
      </c>
      <c r="C165">
        <v>213040</v>
      </c>
      <c r="D165">
        <v>174804</v>
      </c>
      <c r="E165">
        <v>38236</v>
      </c>
      <c r="F165">
        <v>167963</v>
      </c>
    </row>
    <row r="166" spans="1:6" x14ac:dyDescent="0.3">
      <c r="A166">
        <v>144914</v>
      </c>
      <c r="B166">
        <v>120318</v>
      </c>
      <c r="C166">
        <v>173890</v>
      </c>
      <c r="D166">
        <v>80133</v>
      </c>
      <c r="E166">
        <v>93757</v>
      </c>
      <c r="F166">
        <v>76854</v>
      </c>
    </row>
    <row r="167" spans="1:6" x14ac:dyDescent="0.3">
      <c r="A167">
        <v>188155</v>
      </c>
      <c r="B167">
        <v>160384</v>
      </c>
      <c r="C167">
        <v>210359</v>
      </c>
      <c r="D167">
        <v>149711</v>
      </c>
      <c r="E167">
        <v>60648</v>
      </c>
      <c r="F167">
        <v>132194</v>
      </c>
    </row>
    <row r="168" spans="1:6" x14ac:dyDescent="0.3">
      <c r="A168">
        <v>140093</v>
      </c>
      <c r="B168">
        <v>92494</v>
      </c>
      <c r="C168">
        <v>164414</v>
      </c>
      <c r="D168">
        <v>120885</v>
      </c>
      <c r="E168">
        <v>43529</v>
      </c>
      <c r="F168">
        <v>115699</v>
      </c>
    </row>
    <row r="169" spans="1:6" x14ac:dyDescent="0.3">
      <c r="A169">
        <v>149608</v>
      </c>
      <c r="B169">
        <v>78834</v>
      </c>
      <c r="C169">
        <v>122586</v>
      </c>
      <c r="D169">
        <v>52557</v>
      </c>
      <c r="E169">
        <v>70029</v>
      </c>
      <c r="F169">
        <v>32872</v>
      </c>
    </row>
    <row r="170" spans="1:6" x14ac:dyDescent="0.3">
      <c r="A170">
        <v>105961</v>
      </c>
      <c r="B170">
        <v>39828</v>
      </c>
      <c r="C170">
        <v>157253</v>
      </c>
      <c r="D170">
        <v>80985</v>
      </c>
      <c r="E170">
        <v>76268</v>
      </c>
      <c r="F170">
        <v>73510</v>
      </c>
    </row>
    <row r="171" spans="1:6" x14ac:dyDescent="0.3">
      <c r="A171">
        <v>171829</v>
      </c>
      <c r="B171">
        <v>160207</v>
      </c>
      <c r="C171">
        <v>228963</v>
      </c>
      <c r="D171">
        <v>173154</v>
      </c>
      <c r="E171">
        <v>55809</v>
      </c>
      <c r="F171">
        <v>154429</v>
      </c>
    </row>
    <row r="172" spans="1:6" x14ac:dyDescent="0.3">
      <c r="A172">
        <v>131182</v>
      </c>
      <c r="B172">
        <v>91780</v>
      </c>
      <c r="C172">
        <v>116043</v>
      </c>
      <c r="D172">
        <v>54215</v>
      </c>
      <c r="E172">
        <v>61828</v>
      </c>
      <c r="F172">
        <v>37059</v>
      </c>
    </row>
    <row r="173" spans="1:6" x14ac:dyDescent="0.3">
      <c r="A173">
        <v>192736</v>
      </c>
      <c r="B173">
        <v>146999</v>
      </c>
      <c r="C173">
        <v>256562</v>
      </c>
      <c r="D173">
        <v>212189</v>
      </c>
      <c r="E173">
        <v>44373</v>
      </c>
      <c r="F173">
        <v>206560</v>
      </c>
    </row>
    <row r="174" spans="1:6" x14ac:dyDescent="0.3">
      <c r="A174">
        <v>151371</v>
      </c>
      <c r="B174">
        <v>102662</v>
      </c>
      <c r="C174">
        <v>183782</v>
      </c>
      <c r="D174">
        <v>149532</v>
      </c>
      <c r="E174">
        <v>34250</v>
      </c>
      <c r="F174">
        <v>135977</v>
      </c>
    </row>
    <row r="175" spans="1:6" x14ac:dyDescent="0.3">
      <c r="A175">
        <v>107492</v>
      </c>
      <c r="B175">
        <v>44490</v>
      </c>
      <c r="C175">
        <v>154089</v>
      </c>
      <c r="D175">
        <v>66734</v>
      </c>
      <c r="E175">
        <v>87355</v>
      </c>
      <c r="F175">
        <v>53688</v>
      </c>
    </row>
    <row r="176" spans="1:6" x14ac:dyDescent="0.3">
      <c r="A176">
        <v>54853</v>
      </c>
      <c r="B176">
        <v>23061</v>
      </c>
      <c r="C176">
        <v>102190</v>
      </c>
      <c r="D176">
        <v>12712</v>
      </c>
      <c r="E176">
        <v>89478</v>
      </c>
      <c r="F176">
        <v>-4795</v>
      </c>
    </row>
    <row r="177" spans="1:6" x14ac:dyDescent="0.3">
      <c r="A177">
        <v>196922</v>
      </c>
      <c r="B177">
        <v>174810</v>
      </c>
      <c r="C177">
        <v>218868</v>
      </c>
      <c r="D177">
        <v>158448</v>
      </c>
      <c r="E177">
        <v>60420</v>
      </c>
      <c r="F177">
        <v>150326</v>
      </c>
    </row>
    <row r="178" spans="1:6" x14ac:dyDescent="0.3">
      <c r="A178">
        <v>182596</v>
      </c>
      <c r="B178">
        <v>157548</v>
      </c>
      <c r="C178">
        <v>212659</v>
      </c>
      <c r="D178">
        <v>159755</v>
      </c>
      <c r="E178">
        <v>52904</v>
      </c>
      <c r="F178">
        <v>156515</v>
      </c>
    </row>
    <row r="179" spans="1:6" x14ac:dyDescent="0.3">
      <c r="A179">
        <v>133559</v>
      </c>
      <c r="B179">
        <v>68222</v>
      </c>
      <c r="C179">
        <v>101572</v>
      </c>
      <c r="D179">
        <v>62218</v>
      </c>
      <c r="E179">
        <v>39354</v>
      </c>
      <c r="F179">
        <v>47800</v>
      </c>
    </row>
    <row r="180" spans="1:6" x14ac:dyDescent="0.3">
      <c r="A180">
        <v>70581</v>
      </c>
      <c r="B180">
        <v>37530</v>
      </c>
      <c r="C180">
        <v>109004</v>
      </c>
      <c r="D180">
        <v>24378</v>
      </c>
      <c r="E180">
        <v>84626</v>
      </c>
      <c r="F180">
        <v>15418</v>
      </c>
    </row>
    <row r="181" spans="1:6" x14ac:dyDescent="0.3">
      <c r="A181">
        <v>86408</v>
      </c>
      <c r="B181">
        <v>19274</v>
      </c>
      <c r="C181">
        <v>59765</v>
      </c>
      <c r="D181">
        <v>43424</v>
      </c>
      <c r="E181">
        <v>16341</v>
      </c>
      <c r="F181">
        <v>29569</v>
      </c>
    </row>
    <row r="182" spans="1:6" x14ac:dyDescent="0.3">
      <c r="A182">
        <v>193326</v>
      </c>
      <c r="B182">
        <v>131466</v>
      </c>
      <c r="C182">
        <v>162810</v>
      </c>
      <c r="D182">
        <v>146060</v>
      </c>
      <c r="E182">
        <v>16750</v>
      </c>
      <c r="F182">
        <v>141639</v>
      </c>
    </row>
    <row r="183" spans="1:6" x14ac:dyDescent="0.3">
      <c r="A183">
        <v>196968</v>
      </c>
      <c r="B183">
        <v>131207</v>
      </c>
      <c r="C183">
        <v>213759</v>
      </c>
      <c r="D183">
        <v>121305</v>
      </c>
      <c r="E183">
        <v>92454</v>
      </c>
      <c r="F183">
        <v>105456</v>
      </c>
    </row>
    <row r="184" spans="1:6" x14ac:dyDescent="0.3">
      <c r="A184">
        <v>87641</v>
      </c>
      <c r="B184">
        <v>47930</v>
      </c>
      <c r="C184">
        <v>138272</v>
      </c>
      <c r="D184">
        <v>111090</v>
      </c>
      <c r="E184">
        <v>27182</v>
      </c>
      <c r="F184">
        <v>92316</v>
      </c>
    </row>
    <row r="185" spans="1:6" x14ac:dyDescent="0.3">
      <c r="A185">
        <v>74070</v>
      </c>
      <c r="B185">
        <v>-5698</v>
      </c>
      <c r="C185">
        <v>25424</v>
      </c>
      <c r="D185">
        <v>-70135</v>
      </c>
      <c r="E185">
        <v>95559</v>
      </c>
      <c r="F185">
        <v>-80142</v>
      </c>
    </row>
    <row r="186" spans="1:6" x14ac:dyDescent="0.3">
      <c r="A186">
        <v>187809</v>
      </c>
      <c r="B186">
        <v>141747</v>
      </c>
      <c r="C186">
        <v>215984</v>
      </c>
      <c r="D186">
        <v>149413</v>
      </c>
      <c r="E186">
        <v>66571</v>
      </c>
      <c r="F186">
        <v>142916</v>
      </c>
    </row>
    <row r="187" spans="1:6" x14ac:dyDescent="0.3">
      <c r="A187">
        <v>116150</v>
      </c>
      <c r="B187">
        <v>53775</v>
      </c>
      <c r="C187">
        <v>109210</v>
      </c>
      <c r="D187">
        <v>37078</v>
      </c>
      <c r="E187">
        <v>72132</v>
      </c>
      <c r="F187">
        <v>21669</v>
      </c>
    </row>
    <row r="188" spans="1:6" x14ac:dyDescent="0.3">
      <c r="A188">
        <v>184055</v>
      </c>
      <c r="B188">
        <v>153393</v>
      </c>
      <c r="C188">
        <v>196903</v>
      </c>
      <c r="D188">
        <v>103716</v>
      </c>
      <c r="E188">
        <v>93187</v>
      </c>
      <c r="F188">
        <v>93486</v>
      </c>
    </row>
    <row r="189" spans="1:6" x14ac:dyDescent="0.3">
      <c r="A189">
        <v>94547</v>
      </c>
      <c r="B189">
        <v>29927</v>
      </c>
      <c r="C189">
        <v>65244</v>
      </c>
      <c r="D189">
        <v>42680</v>
      </c>
      <c r="E189">
        <v>22564</v>
      </c>
      <c r="F189">
        <v>25160</v>
      </c>
    </row>
    <row r="190" spans="1:6" x14ac:dyDescent="0.3">
      <c r="A190">
        <v>129273</v>
      </c>
      <c r="B190">
        <v>66880</v>
      </c>
      <c r="C190">
        <v>152961</v>
      </c>
      <c r="D190">
        <v>108531</v>
      </c>
      <c r="E190">
        <v>44430</v>
      </c>
      <c r="F190">
        <v>96535</v>
      </c>
    </row>
    <row r="191" spans="1:6" x14ac:dyDescent="0.3">
      <c r="A191">
        <v>194991</v>
      </c>
      <c r="B191">
        <v>115645</v>
      </c>
      <c r="C191">
        <v>231767</v>
      </c>
      <c r="D191">
        <v>176793</v>
      </c>
      <c r="E191">
        <v>54974</v>
      </c>
      <c r="F191">
        <v>165788</v>
      </c>
    </row>
    <row r="192" spans="1:6" x14ac:dyDescent="0.3">
      <c r="A192">
        <v>111916</v>
      </c>
      <c r="B192">
        <v>39729</v>
      </c>
      <c r="C192">
        <v>72713</v>
      </c>
      <c r="D192">
        <v>24674</v>
      </c>
      <c r="E192">
        <v>48039</v>
      </c>
      <c r="F192">
        <v>12058</v>
      </c>
    </row>
    <row r="193" spans="1:6" x14ac:dyDescent="0.3">
      <c r="A193">
        <v>74574</v>
      </c>
      <c r="B193">
        <v>61144</v>
      </c>
      <c r="C193">
        <v>93820</v>
      </c>
      <c r="D193">
        <v>68004</v>
      </c>
      <c r="E193">
        <v>25816</v>
      </c>
      <c r="F193">
        <v>63954</v>
      </c>
    </row>
    <row r="194" spans="1:6" x14ac:dyDescent="0.3">
      <c r="A194">
        <v>82413</v>
      </c>
      <c r="B194">
        <v>37612</v>
      </c>
      <c r="C194">
        <v>113231</v>
      </c>
      <c r="D194">
        <v>65318</v>
      </c>
      <c r="E194">
        <v>47913</v>
      </c>
      <c r="F194">
        <v>49049</v>
      </c>
    </row>
    <row r="195" spans="1:6" x14ac:dyDescent="0.3">
      <c r="A195">
        <v>185566</v>
      </c>
      <c r="B195">
        <v>132565</v>
      </c>
      <c r="C195">
        <v>219929</v>
      </c>
      <c r="D195">
        <v>159901</v>
      </c>
      <c r="E195">
        <v>60028</v>
      </c>
      <c r="F195">
        <v>148771</v>
      </c>
    </row>
    <row r="196" spans="1:6" x14ac:dyDescent="0.3">
      <c r="A196">
        <v>174343</v>
      </c>
      <c r="B196">
        <v>107705</v>
      </c>
      <c r="C196">
        <v>157462</v>
      </c>
      <c r="D196">
        <v>107826</v>
      </c>
      <c r="E196">
        <v>49636</v>
      </c>
      <c r="F196">
        <v>91265</v>
      </c>
    </row>
    <row r="197" spans="1:6" x14ac:dyDescent="0.3">
      <c r="A197">
        <v>130435</v>
      </c>
      <c r="B197">
        <v>58224</v>
      </c>
      <c r="C197">
        <v>133066</v>
      </c>
      <c r="D197">
        <v>61087</v>
      </c>
      <c r="E197">
        <v>71979</v>
      </c>
      <c r="F197">
        <v>42867</v>
      </c>
    </row>
    <row r="198" spans="1:6" x14ac:dyDescent="0.3">
      <c r="A198">
        <v>91844</v>
      </c>
      <c r="B198">
        <v>17090</v>
      </c>
      <c r="C198">
        <v>71247</v>
      </c>
      <c r="D198">
        <v>-20882</v>
      </c>
      <c r="E198">
        <v>92129</v>
      </c>
      <c r="F198">
        <v>-30156</v>
      </c>
    </row>
    <row r="199" spans="1:6" x14ac:dyDescent="0.3">
      <c r="A199">
        <v>166953</v>
      </c>
      <c r="B199">
        <v>129577</v>
      </c>
      <c r="C199">
        <v>205131</v>
      </c>
      <c r="D199">
        <v>175932</v>
      </c>
      <c r="E199">
        <v>29199</v>
      </c>
      <c r="F199">
        <v>158056</v>
      </c>
    </row>
    <row r="200" spans="1:6" x14ac:dyDescent="0.3">
      <c r="A200">
        <v>116262</v>
      </c>
      <c r="B200">
        <v>59662</v>
      </c>
      <c r="C200">
        <v>156560</v>
      </c>
      <c r="D200">
        <v>79077</v>
      </c>
      <c r="E200">
        <v>77483</v>
      </c>
      <c r="F200">
        <v>66971</v>
      </c>
    </row>
    <row r="201" spans="1:6" x14ac:dyDescent="0.3">
      <c r="A201">
        <v>162855</v>
      </c>
      <c r="B201">
        <v>128277</v>
      </c>
      <c r="C201">
        <v>177108</v>
      </c>
      <c r="D201">
        <v>154202</v>
      </c>
      <c r="E201">
        <v>22906</v>
      </c>
      <c r="F201">
        <v>144915</v>
      </c>
    </row>
    <row r="202" spans="1:6" x14ac:dyDescent="0.3">
      <c r="A202">
        <v>110504</v>
      </c>
      <c r="B202">
        <v>40784</v>
      </c>
      <c r="C202">
        <v>95485</v>
      </c>
      <c r="D202">
        <v>-2815</v>
      </c>
      <c r="E202">
        <v>98300</v>
      </c>
      <c r="F202">
        <v>-16688</v>
      </c>
    </row>
    <row r="203" spans="1:6" x14ac:dyDescent="0.3">
      <c r="A203">
        <v>93642</v>
      </c>
      <c r="B203">
        <v>18482</v>
      </c>
      <c r="C203">
        <v>56084</v>
      </c>
      <c r="D203">
        <v>15153</v>
      </c>
      <c r="E203">
        <v>40931</v>
      </c>
      <c r="F203">
        <v>-621</v>
      </c>
    </row>
    <row r="204" spans="1:6" x14ac:dyDescent="0.3">
      <c r="A204">
        <v>114772</v>
      </c>
      <c r="B204">
        <v>46010</v>
      </c>
      <c r="C204">
        <v>116116</v>
      </c>
      <c r="D204">
        <v>19995</v>
      </c>
      <c r="E204">
        <v>96121</v>
      </c>
      <c r="F204">
        <v>10704</v>
      </c>
    </row>
    <row r="205" spans="1:6" x14ac:dyDescent="0.3">
      <c r="A205">
        <v>185044</v>
      </c>
      <c r="B205">
        <v>133171</v>
      </c>
      <c r="C205">
        <v>247832</v>
      </c>
      <c r="D205">
        <v>222929</v>
      </c>
      <c r="E205">
        <v>24903</v>
      </c>
      <c r="F205">
        <v>217909</v>
      </c>
    </row>
    <row r="206" spans="1:6" x14ac:dyDescent="0.3">
      <c r="A206">
        <v>165005</v>
      </c>
      <c r="B206">
        <v>152609</v>
      </c>
      <c r="C206">
        <v>256691</v>
      </c>
      <c r="D206">
        <v>222562</v>
      </c>
      <c r="E206">
        <v>34129</v>
      </c>
      <c r="F206">
        <v>218971</v>
      </c>
    </row>
    <row r="207" spans="1:6" x14ac:dyDescent="0.3">
      <c r="A207">
        <v>121719</v>
      </c>
      <c r="B207">
        <v>104405</v>
      </c>
      <c r="C207">
        <v>144028</v>
      </c>
      <c r="D207">
        <v>61353</v>
      </c>
      <c r="E207">
        <v>82675</v>
      </c>
      <c r="F207">
        <v>44665</v>
      </c>
    </row>
    <row r="208" spans="1:6" x14ac:dyDescent="0.3">
      <c r="A208">
        <v>155228</v>
      </c>
      <c r="B208">
        <v>112098</v>
      </c>
      <c r="C208">
        <v>183854</v>
      </c>
      <c r="D208">
        <v>142562</v>
      </c>
      <c r="E208">
        <v>41292</v>
      </c>
      <c r="F208">
        <v>127081</v>
      </c>
    </row>
    <row r="209" spans="1:6" x14ac:dyDescent="0.3">
      <c r="A209">
        <v>119274</v>
      </c>
      <c r="B209">
        <v>106805</v>
      </c>
      <c r="C209">
        <v>180752</v>
      </c>
      <c r="D209">
        <v>143218</v>
      </c>
      <c r="E209">
        <v>37534</v>
      </c>
      <c r="F209">
        <v>125112</v>
      </c>
    </row>
    <row r="210" spans="1:6" x14ac:dyDescent="0.3">
      <c r="A210">
        <v>118344</v>
      </c>
      <c r="B210">
        <v>130957</v>
      </c>
      <c r="C210">
        <v>133508</v>
      </c>
      <c r="D210">
        <v>70870</v>
      </c>
      <c r="E210">
        <v>62638</v>
      </c>
      <c r="F210">
        <v>56157</v>
      </c>
    </row>
    <row r="211" spans="1:6" x14ac:dyDescent="0.3">
      <c r="A211">
        <v>92534</v>
      </c>
      <c r="B211">
        <v>63747</v>
      </c>
      <c r="C211">
        <v>132592</v>
      </c>
      <c r="D211">
        <v>59660</v>
      </c>
      <c r="E211">
        <v>72932</v>
      </c>
      <c r="F211">
        <v>57366</v>
      </c>
    </row>
    <row r="212" spans="1:6" x14ac:dyDescent="0.3">
      <c r="A212">
        <v>125418</v>
      </c>
      <c r="B212">
        <v>48746</v>
      </c>
      <c r="C212">
        <v>103578</v>
      </c>
      <c r="D212">
        <v>56612</v>
      </c>
      <c r="E212">
        <v>46966</v>
      </c>
      <c r="F212">
        <v>47603</v>
      </c>
    </row>
    <row r="213" spans="1:6" x14ac:dyDescent="0.3">
      <c r="A213">
        <v>81575</v>
      </c>
      <c r="B213">
        <v>7723</v>
      </c>
      <c r="C213">
        <v>28730</v>
      </c>
      <c r="D213">
        <v>-57251</v>
      </c>
      <c r="E213">
        <v>85981</v>
      </c>
      <c r="F213">
        <v>-69957</v>
      </c>
    </row>
    <row r="214" spans="1:6" x14ac:dyDescent="0.3">
      <c r="A214">
        <v>194353</v>
      </c>
      <c r="B214">
        <v>123107</v>
      </c>
      <c r="C214">
        <v>144542</v>
      </c>
      <c r="D214">
        <v>102882</v>
      </c>
      <c r="E214">
        <v>41660</v>
      </c>
      <c r="F214">
        <v>95798</v>
      </c>
    </row>
    <row r="215" spans="1:6" x14ac:dyDescent="0.3">
      <c r="A215">
        <v>165953</v>
      </c>
      <c r="B215">
        <v>148462</v>
      </c>
      <c r="C215">
        <v>218654</v>
      </c>
      <c r="D215">
        <v>123259</v>
      </c>
      <c r="E215">
        <v>95395</v>
      </c>
      <c r="F215">
        <v>113186</v>
      </c>
    </row>
    <row r="216" spans="1:6" x14ac:dyDescent="0.3">
      <c r="A216">
        <v>70953</v>
      </c>
      <c r="B216">
        <v>-6936</v>
      </c>
      <c r="C216">
        <v>36885</v>
      </c>
      <c r="D216">
        <v>-15682</v>
      </c>
      <c r="E216">
        <v>52567</v>
      </c>
      <c r="F216">
        <v>-34752</v>
      </c>
    </row>
    <row r="217" spans="1:6" x14ac:dyDescent="0.3">
      <c r="A217">
        <v>127475</v>
      </c>
      <c r="B217">
        <v>96048</v>
      </c>
      <c r="C217">
        <v>143131</v>
      </c>
      <c r="D217">
        <v>70759</v>
      </c>
      <c r="E217">
        <v>72372</v>
      </c>
      <c r="F217">
        <v>57463</v>
      </c>
    </row>
    <row r="218" spans="1:6" x14ac:dyDescent="0.3">
      <c r="A218">
        <v>143106</v>
      </c>
      <c r="B218">
        <v>106024</v>
      </c>
      <c r="C218">
        <v>155265</v>
      </c>
      <c r="D218">
        <v>95696</v>
      </c>
      <c r="E218">
        <v>59569</v>
      </c>
      <c r="F218">
        <v>81951</v>
      </c>
    </row>
    <row r="219" spans="1:6" x14ac:dyDescent="0.3">
      <c r="A219">
        <v>173395</v>
      </c>
      <c r="B219">
        <v>149107</v>
      </c>
      <c r="C219">
        <v>258293</v>
      </c>
      <c r="D219">
        <v>236753</v>
      </c>
      <c r="E219">
        <v>21540</v>
      </c>
      <c r="F219">
        <v>218331</v>
      </c>
    </row>
    <row r="220" spans="1:6" x14ac:dyDescent="0.3">
      <c r="A220">
        <v>125932</v>
      </c>
      <c r="B220">
        <v>98450</v>
      </c>
      <c r="C220">
        <v>141861</v>
      </c>
      <c r="D220">
        <v>75886</v>
      </c>
      <c r="E220">
        <v>65975</v>
      </c>
      <c r="F220">
        <v>59888</v>
      </c>
    </row>
    <row r="221" spans="1:6" x14ac:dyDescent="0.3">
      <c r="A221">
        <v>72042</v>
      </c>
      <c r="B221">
        <v>9112</v>
      </c>
      <c r="C221">
        <v>73525</v>
      </c>
      <c r="D221">
        <v>24769</v>
      </c>
      <c r="E221">
        <v>48756</v>
      </c>
      <c r="F221">
        <v>16323</v>
      </c>
    </row>
    <row r="222" spans="1:6" x14ac:dyDescent="0.3">
      <c r="A222">
        <v>98901</v>
      </c>
      <c r="B222">
        <v>25485</v>
      </c>
      <c r="C222">
        <v>77681</v>
      </c>
      <c r="D222">
        <v>57055</v>
      </c>
      <c r="E222">
        <v>20626</v>
      </c>
      <c r="F222">
        <v>47631</v>
      </c>
    </row>
    <row r="223" spans="1:6" x14ac:dyDescent="0.3">
      <c r="A223">
        <v>183052</v>
      </c>
      <c r="B223">
        <v>124762</v>
      </c>
      <c r="C223">
        <v>171193</v>
      </c>
      <c r="D223">
        <v>71217</v>
      </c>
      <c r="E223">
        <v>99976</v>
      </c>
      <c r="F223">
        <v>60233</v>
      </c>
    </row>
    <row r="224" spans="1:6" x14ac:dyDescent="0.3">
      <c r="A224">
        <v>76385</v>
      </c>
      <c r="B224">
        <v>28227</v>
      </c>
      <c r="C224">
        <v>71246</v>
      </c>
      <c r="D224">
        <v>37607</v>
      </c>
      <c r="E224">
        <v>33639</v>
      </c>
      <c r="F224">
        <v>34000</v>
      </c>
    </row>
    <row r="225" spans="1:6" x14ac:dyDescent="0.3">
      <c r="A225">
        <v>165672</v>
      </c>
      <c r="B225">
        <v>149896</v>
      </c>
      <c r="C225">
        <v>206340</v>
      </c>
      <c r="D225">
        <v>122424</v>
      </c>
      <c r="E225">
        <v>83916</v>
      </c>
      <c r="F225">
        <v>111713</v>
      </c>
    </row>
    <row r="226" spans="1:6" x14ac:dyDescent="0.3">
      <c r="A226">
        <v>135553</v>
      </c>
      <c r="B226">
        <v>94846</v>
      </c>
      <c r="C226">
        <v>153956</v>
      </c>
      <c r="D226">
        <v>77168</v>
      </c>
      <c r="E226">
        <v>76788</v>
      </c>
      <c r="F226">
        <v>57825</v>
      </c>
    </row>
    <row r="227" spans="1:6" x14ac:dyDescent="0.3">
      <c r="A227">
        <v>186727</v>
      </c>
      <c r="B227">
        <v>131868</v>
      </c>
      <c r="C227">
        <v>205493</v>
      </c>
      <c r="D227">
        <v>138395</v>
      </c>
      <c r="E227">
        <v>67098</v>
      </c>
      <c r="F227">
        <v>121144</v>
      </c>
    </row>
    <row r="228" spans="1:6" x14ac:dyDescent="0.3">
      <c r="A228">
        <v>97837</v>
      </c>
      <c r="B228">
        <v>76301</v>
      </c>
      <c r="C228">
        <v>124842</v>
      </c>
      <c r="D228">
        <v>30759</v>
      </c>
      <c r="E228">
        <v>94083</v>
      </c>
      <c r="F228">
        <v>26996</v>
      </c>
    </row>
    <row r="229" spans="1:6" x14ac:dyDescent="0.3">
      <c r="A229">
        <v>179749</v>
      </c>
      <c r="B229">
        <v>164640</v>
      </c>
      <c r="C229">
        <v>233908</v>
      </c>
      <c r="D229">
        <v>164293</v>
      </c>
      <c r="E229">
        <v>69615</v>
      </c>
      <c r="F229">
        <v>145326</v>
      </c>
    </row>
    <row r="230" spans="1:6" x14ac:dyDescent="0.3">
      <c r="A230">
        <v>152471</v>
      </c>
      <c r="B230">
        <v>115882</v>
      </c>
      <c r="C230">
        <v>165897</v>
      </c>
      <c r="D230">
        <v>121888</v>
      </c>
      <c r="E230">
        <v>44009</v>
      </c>
      <c r="F230">
        <v>102115</v>
      </c>
    </row>
    <row r="231" spans="1:6" x14ac:dyDescent="0.3">
      <c r="A231">
        <v>156661</v>
      </c>
      <c r="B231">
        <v>120518</v>
      </c>
      <c r="C231">
        <v>146672</v>
      </c>
      <c r="D231">
        <v>109868</v>
      </c>
      <c r="E231">
        <v>36804</v>
      </c>
      <c r="F231">
        <v>98948</v>
      </c>
    </row>
    <row r="232" spans="1:6" x14ac:dyDescent="0.3">
      <c r="A232">
        <v>80087</v>
      </c>
      <c r="B232">
        <v>20157</v>
      </c>
      <c r="C232">
        <v>73138</v>
      </c>
      <c r="D232">
        <v>-11160</v>
      </c>
      <c r="E232">
        <v>84298</v>
      </c>
      <c r="F232">
        <v>-26559</v>
      </c>
    </row>
    <row r="233" spans="1:6" x14ac:dyDescent="0.3">
      <c r="A233">
        <v>175816</v>
      </c>
      <c r="B233">
        <v>113547</v>
      </c>
      <c r="C233">
        <v>172106</v>
      </c>
      <c r="D233">
        <v>82787</v>
      </c>
      <c r="E233">
        <v>89319</v>
      </c>
      <c r="F233">
        <v>67166</v>
      </c>
    </row>
    <row r="234" spans="1:6" x14ac:dyDescent="0.3">
      <c r="A234">
        <v>124441</v>
      </c>
      <c r="B234">
        <v>92010</v>
      </c>
      <c r="C234">
        <v>173691</v>
      </c>
      <c r="D234">
        <v>95208</v>
      </c>
      <c r="E234">
        <v>78483</v>
      </c>
      <c r="F234">
        <v>76823</v>
      </c>
    </row>
    <row r="235" spans="1:6" x14ac:dyDescent="0.3">
      <c r="A235">
        <v>162360</v>
      </c>
      <c r="B235">
        <v>107356</v>
      </c>
      <c r="C235">
        <v>211225</v>
      </c>
      <c r="D235">
        <v>139240</v>
      </c>
      <c r="E235">
        <v>71985</v>
      </c>
      <c r="F235">
        <v>119939</v>
      </c>
    </row>
    <row r="236" spans="1:6" x14ac:dyDescent="0.3">
      <c r="A236">
        <v>100861</v>
      </c>
      <c r="B236">
        <v>22284</v>
      </c>
      <c r="C236">
        <v>107925</v>
      </c>
      <c r="D236">
        <v>83847</v>
      </c>
      <c r="E236">
        <v>24078</v>
      </c>
      <c r="F236">
        <v>75757</v>
      </c>
    </row>
    <row r="237" spans="1:6" x14ac:dyDescent="0.3">
      <c r="A237">
        <v>182997</v>
      </c>
      <c r="B237">
        <v>146982</v>
      </c>
      <c r="C237">
        <v>200302</v>
      </c>
      <c r="D237">
        <v>120421</v>
      </c>
      <c r="E237">
        <v>79881</v>
      </c>
      <c r="F237">
        <v>114510</v>
      </c>
    </row>
    <row r="238" spans="1:6" x14ac:dyDescent="0.3">
      <c r="A238">
        <v>184461</v>
      </c>
      <c r="B238">
        <v>148778</v>
      </c>
      <c r="C238">
        <v>182407</v>
      </c>
      <c r="D238">
        <v>105857</v>
      </c>
      <c r="E238">
        <v>76550</v>
      </c>
      <c r="F238">
        <v>101427</v>
      </c>
    </row>
    <row r="239" spans="1:6" x14ac:dyDescent="0.3">
      <c r="A239">
        <v>148511</v>
      </c>
      <c r="B239">
        <v>72076</v>
      </c>
      <c r="C239">
        <v>103729</v>
      </c>
      <c r="D239">
        <v>60768</v>
      </c>
      <c r="E239">
        <v>42961</v>
      </c>
      <c r="F239">
        <v>42363</v>
      </c>
    </row>
    <row r="240" spans="1:6" x14ac:dyDescent="0.3">
      <c r="A240">
        <v>148818</v>
      </c>
      <c r="B240">
        <v>82372</v>
      </c>
      <c r="C240">
        <v>123660</v>
      </c>
      <c r="D240">
        <v>71783</v>
      </c>
      <c r="E240">
        <v>51877</v>
      </c>
      <c r="F240">
        <v>56525</v>
      </c>
    </row>
    <row r="241" spans="1:6" x14ac:dyDescent="0.3">
      <c r="A241">
        <v>122715</v>
      </c>
      <c r="B241">
        <v>102389</v>
      </c>
      <c r="C241">
        <v>123949</v>
      </c>
      <c r="D241">
        <v>29801</v>
      </c>
      <c r="E241">
        <v>94148</v>
      </c>
      <c r="F241">
        <v>10151</v>
      </c>
    </row>
    <row r="242" spans="1:6" x14ac:dyDescent="0.3">
      <c r="A242">
        <v>173629</v>
      </c>
      <c r="B242">
        <v>111050</v>
      </c>
      <c r="C242">
        <v>201366</v>
      </c>
      <c r="D242">
        <v>102519</v>
      </c>
      <c r="E242">
        <v>98847</v>
      </c>
      <c r="F242">
        <v>88625</v>
      </c>
    </row>
    <row r="243" spans="1:6" x14ac:dyDescent="0.3">
      <c r="A243">
        <v>142447</v>
      </c>
      <c r="B243">
        <v>112398</v>
      </c>
      <c r="C243">
        <v>208115</v>
      </c>
      <c r="D243">
        <v>177033</v>
      </c>
      <c r="E243">
        <v>31082</v>
      </c>
      <c r="F243">
        <v>174372</v>
      </c>
    </row>
    <row r="244" spans="1:6" x14ac:dyDescent="0.3">
      <c r="A244">
        <v>52920</v>
      </c>
      <c r="B244">
        <v>-17395</v>
      </c>
      <c r="C244">
        <v>82166</v>
      </c>
      <c r="D244">
        <v>58220</v>
      </c>
      <c r="E244">
        <v>23946</v>
      </c>
      <c r="F244">
        <v>43488</v>
      </c>
    </row>
    <row r="245" spans="1:6" x14ac:dyDescent="0.3">
      <c r="A245">
        <v>105230</v>
      </c>
      <c r="B245">
        <v>65203</v>
      </c>
      <c r="C245">
        <v>157744</v>
      </c>
      <c r="D245">
        <v>83423</v>
      </c>
      <c r="E245">
        <v>74321</v>
      </c>
      <c r="F245">
        <v>80467</v>
      </c>
    </row>
    <row r="246" spans="1:6" x14ac:dyDescent="0.3">
      <c r="A246">
        <v>75963</v>
      </c>
      <c r="B246">
        <v>26520</v>
      </c>
      <c r="C246">
        <v>145779</v>
      </c>
      <c r="D246">
        <v>91716</v>
      </c>
      <c r="E246">
        <v>54063</v>
      </c>
      <c r="F246">
        <v>73795</v>
      </c>
    </row>
    <row r="247" spans="1:6" x14ac:dyDescent="0.3">
      <c r="A247">
        <v>122099</v>
      </c>
      <c r="B247">
        <v>86250</v>
      </c>
      <c r="C247">
        <v>138110</v>
      </c>
      <c r="D247">
        <v>91525</v>
      </c>
      <c r="E247">
        <v>46585</v>
      </c>
      <c r="F247">
        <v>77522</v>
      </c>
    </row>
    <row r="248" spans="1:6" x14ac:dyDescent="0.3">
      <c r="A248">
        <v>76017</v>
      </c>
      <c r="B248">
        <v>20667</v>
      </c>
      <c r="C248">
        <v>52868</v>
      </c>
      <c r="D248">
        <v>8442</v>
      </c>
      <c r="E248">
        <v>44426</v>
      </c>
      <c r="F248">
        <v>-11336</v>
      </c>
    </row>
    <row r="249" spans="1:6" x14ac:dyDescent="0.3">
      <c r="A249">
        <v>136652</v>
      </c>
      <c r="B249">
        <v>78288</v>
      </c>
      <c r="C249">
        <v>197121</v>
      </c>
      <c r="D249">
        <v>97243</v>
      </c>
      <c r="E249">
        <v>99878</v>
      </c>
      <c r="F249">
        <v>82478</v>
      </c>
    </row>
    <row r="250" spans="1:6" x14ac:dyDescent="0.3">
      <c r="A250">
        <v>138397</v>
      </c>
      <c r="B250">
        <v>79244</v>
      </c>
      <c r="C250">
        <v>132386</v>
      </c>
      <c r="D250">
        <v>90470</v>
      </c>
      <c r="E250">
        <v>41916</v>
      </c>
      <c r="F250">
        <v>76273</v>
      </c>
    </row>
    <row r="251" spans="1:6" x14ac:dyDescent="0.3">
      <c r="A251">
        <v>146059</v>
      </c>
      <c r="B251">
        <v>101013</v>
      </c>
      <c r="C251">
        <v>168077</v>
      </c>
      <c r="D251">
        <v>83727</v>
      </c>
      <c r="E251">
        <v>84350</v>
      </c>
      <c r="F251">
        <v>68602</v>
      </c>
    </row>
    <row r="252" spans="1:6" x14ac:dyDescent="0.3">
      <c r="A252">
        <v>117649</v>
      </c>
      <c r="B252">
        <v>42975</v>
      </c>
      <c r="C252">
        <v>76735</v>
      </c>
      <c r="D252">
        <v>39808</v>
      </c>
      <c r="E252">
        <v>36927</v>
      </c>
      <c r="F252">
        <v>25220</v>
      </c>
    </row>
    <row r="253" spans="1:6" x14ac:dyDescent="0.3">
      <c r="A253">
        <v>168154</v>
      </c>
      <c r="B253">
        <v>105921</v>
      </c>
      <c r="C253">
        <v>170659</v>
      </c>
      <c r="D253">
        <v>122262</v>
      </c>
      <c r="E253">
        <v>48397</v>
      </c>
      <c r="F253">
        <v>103609</v>
      </c>
    </row>
    <row r="254" spans="1:6" x14ac:dyDescent="0.3">
      <c r="A254">
        <v>170585</v>
      </c>
      <c r="B254">
        <v>140769</v>
      </c>
      <c r="C254">
        <v>203009</v>
      </c>
      <c r="D254">
        <v>181733</v>
      </c>
      <c r="E254">
        <v>21276</v>
      </c>
      <c r="F254">
        <v>164098</v>
      </c>
    </row>
    <row r="255" spans="1:6" x14ac:dyDescent="0.3">
      <c r="A255">
        <v>121635</v>
      </c>
      <c r="B255">
        <v>75689</v>
      </c>
      <c r="C255">
        <v>150893</v>
      </c>
      <c r="D255">
        <v>84007</v>
      </c>
      <c r="E255">
        <v>66886</v>
      </c>
      <c r="F255">
        <v>75891</v>
      </c>
    </row>
    <row r="256" spans="1:6" x14ac:dyDescent="0.3">
      <c r="A256">
        <v>59847</v>
      </c>
      <c r="B256">
        <v>23692</v>
      </c>
      <c r="C256">
        <v>123363</v>
      </c>
      <c r="D256">
        <v>25053</v>
      </c>
      <c r="E256">
        <v>98310</v>
      </c>
      <c r="F256">
        <v>21311</v>
      </c>
    </row>
    <row r="257" spans="1:6" x14ac:dyDescent="0.3">
      <c r="A257">
        <v>84707</v>
      </c>
      <c r="B257">
        <v>54370</v>
      </c>
      <c r="C257">
        <v>155907</v>
      </c>
      <c r="D257">
        <v>74403</v>
      </c>
      <c r="E257">
        <v>81504</v>
      </c>
      <c r="F257">
        <v>57557</v>
      </c>
    </row>
    <row r="258" spans="1:6" x14ac:dyDescent="0.3">
      <c r="A258">
        <v>182130</v>
      </c>
      <c r="B258">
        <v>143726</v>
      </c>
      <c r="C258">
        <v>193582</v>
      </c>
      <c r="D258">
        <v>169382</v>
      </c>
      <c r="E258">
        <v>24200</v>
      </c>
      <c r="F258">
        <v>166153</v>
      </c>
    </row>
    <row r="259" spans="1:6" x14ac:dyDescent="0.3">
      <c r="A259">
        <v>182311</v>
      </c>
      <c r="B259">
        <v>106650</v>
      </c>
      <c r="C259">
        <v>171922</v>
      </c>
      <c r="D259">
        <v>95710</v>
      </c>
      <c r="E259">
        <v>76212</v>
      </c>
      <c r="F259">
        <v>78312</v>
      </c>
    </row>
    <row r="260" spans="1:6" x14ac:dyDescent="0.3">
      <c r="A260">
        <v>187710</v>
      </c>
      <c r="B260">
        <v>171140</v>
      </c>
      <c r="C260">
        <v>259925</v>
      </c>
      <c r="D260">
        <v>235815</v>
      </c>
      <c r="E260">
        <v>24110</v>
      </c>
      <c r="F260">
        <v>226220</v>
      </c>
    </row>
    <row r="261" spans="1:6" x14ac:dyDescent="0.3">
      <c r="A261">
        <v>72911</v>
      </c>
      <c r="B261">
        <v>30355</v>
      </c>
      <c r="C261">
        <v>128486</v>
      </c>
      <c r="D261">
        <v>111517</v>
      </c>
      <c r="E261">
        <v>16969</v>
      </c>
      <c r="F261">
        <v>98532</v>
      </c>
    </row>
    <row r="262" spans="1:6" x14ac:dyDescent="0.3">
      <c r="A262">
        <v>171863</v>
      </c>
      <c r="B262">
        <v>151638</v>
      </c>
      <c r="C262">
        <v>194834</v>
      </c>
      <c r="D262">
        <v>166165</v>
      </c>
      <c r="E262">
        <v>28669</v>
      </c>
      <c r="F262">
        <v>159553</v>
      </c>
    </row>
    <row r="263" spans="1:6" x14ac:dyDescent="0.3">
      <c r="A263">
        <v>98320</v>
      </c>
      <c r="B263">
        <v>40906</v>
      </c>
      <c r="C263">
        <v>76483</v>
      </c>
      <c r="D263">
        <v>6074</v>
      </c>
      <c r="E263">
        <v>70409</v>
      </c>
      <c r="F263">
        <v>-11430</v>
      </c>
    </row>
    <row r="264" spans="1:6" x14ac:dyDescent="0.3">
      <c r="A264">
        <v>160448</v>
      </c>
      <c r="B264">
        <v>100310</v>
      </c>
      <c r="C264">
        <v>163133</v>
      </c>
      <c r="D264">
        <v>110925</v>
      </c>
      <c r="E264">
        <v>52208</v>
      </c>
      <c r="F264">
        <v>105853</v>
      </c>
    </row>
    <row r="265" spans="1:6" x14ac:dyDescent="0.3">
      <c r="A265">
        <v>69508</v>
      </c>
      <c r="B265">
        <v>17221</v>
      </c>
      <c r="C265">
        <v>116137</v>
      </c>
      <c r="D265">
        <v>74153</v>
      </c>
      <c r="E265">
        <v>41984</v>
      </c>
      <c r="F265">
        <v>60288</v>
      </c>
    </row>
    <row r="266" spans="1:6" x14ac:dyDescent="0.3">
      <c r="A266">
        <v>153409</v>
      </c>
      <c r="B266">
        <v>126322</v>
      </c>
      <c r="C266">
        <v>152026</v>
      </c>
      <c r="D266">
        <v>76450</v>
      </c>
      <c r="E266">
        <v>75576</v>
      </c>
      <c r="F266">
        <v>66602</v>
      </c>
    </row>
    <row r="267" spans="1:6" x14ac:dyDescent="0.3">
      <c r="A267">
        <v>168516</v>
      </c>
      <c r="B267">
        <v>92492</v>
      </c>
      <c r="C267">
        <v>152374</v>
      </c>
      <c r="D267">
        <v>111451</v>
      </c>
      <c r="E267">
        <v>40923</v>
      </c>
      <c r="F267">
        <v>93711</v>
      </c>
    </row>
    <row r="268" spans="1:6" x14ac:dyDescent="0.3">
      <c r="A268">
        <v>86321</v>
      </c>
      <c r="B268">
        <v>50895</v>
      </c>
      <c r="C268">
        <v>88667</v>
      </c>
      <c r="D268">
        <v>69955</v>
      </c>
      <c r="E268">
        <v>18712</v>
      </c>
      <c r="F268">
        <v>66588</v>
      </c>
    </row>
    <row r="269" spans="1:6" x14ac:dyDescent="0.3">
      <c r="A269">
        <v>141736</v>
      </c>
      <c r="B269">
        <v>79812</v>
      </c>
      <c r="C269">
        <v>103538</v>
      </c>
      <c r="D269">
        <v>60815</v>
      </c>
      <c r="E269">
        <v>42723</v>
      </c>
      <c r="F269">
        <v>54009</v>
      </c>
    </row>
    <row r="270" spans="1:6" x14ac:dyDescent="0.3">
      <c r="A270">
        <v>85643</v>
      </c>
      <c r="B270">
        <v>44319</v>
      </c>
      <c r="C270">
        <v>147679</v>
      </c>
      <c r="D270">
        <v>123752</v>
      </c>
      <c r="E270">
        <v>23927</v>
      </c>
      <c r="F270">
        <v>107315</v>
      </c>
    </row>
    <row r="271" spans="1:6" x14ac:dyDescent="0.3">
      <c r="A271">
        <v>75537</v>
      </c>
      <c r="B271">
        <v>42925</v>
      </c>
      <c r="C271">
        <v>156902</v>
      </c>
      <c r="D271">
        <v>135431</v>
      </c>
      <c r="E271">
        <v>21471</v>
      </c>
      <c r="F271">
        <v>130568</v>
      </c>
    </row>
    <row r="272" spans="1:6" x14ac:dyDescent="0.3">
      <c r="A272">
        <v>81348</v>
      </c>
      <c r="B272">
        <v>6616</v>
      </c>
      <c r="C272">
        <v>27793</v>
      </c>
      <c r="D272">
        <v>8033</v>
      </c>
      <c r="E272">
        <v>19760</v>
      </c>
      <c r="F272">
        <v>6022</v>
      </c>
    </row>
    <row r="273" spans="1:6" x14ac:dyDescent="0.3">
      <c r="A273">
        <v>103551</v>
      </c>
      <c r="B273">
        <v>81995</v>
      </c>
      <c r="C273">
        <v>129593</v>
      </c>
      <c r="D273">
        <v>103030</v>
      </c>
      <c r="E273">
        <v>26563</v>
      </c>
      <c r="F273">
        <v>86979</v>
      </c>
    </row>
    <row r="274" spans="1:6" x14ac:dyDescent="0.3">
      <c r="A274">
        <v>128714</v>
      </c>
      <c r="B274">
        <v>60366</v>
      </c>
      <c r="C274">
        <v>104962</v>
      </c>
      <c r="D274">
        <v>56788</v>
      </c>
      <c r="E274">
        <v>48174</v>
      </c>
      <c r="F274">
        <v>45582</v>
      </c>
    </row>
    <row r="275" spans="1:6" x14ac:dyDescent="0.3">
      <c r="A275">
        <v>137163</v>
      </c>
      <c r="B275">
        <v>87853</v>
      </c>
      <c r="C275">
        <v>163941</v>
      </c>
      <c r="D275">
        <v>140035</v>
      </c>
      <c r="E275">
        <v>23906</v>
      </c>
      <c r="F275">
        <v>133889</v>
      </c>
    </row>
    <row r="276" spans="1:6" x14ac:dyDescent="0.3">
      <c r="A276">
        <v>96413</v>
      </c>
      <c r="B276">
        <v>80401</v>
      </c>
      <c r="C276">
        <v>150516</v>
      </c>
      <c r="D276">
        <v>128365</v>
      </c>
      <c r="E276">
        <v>22151</v>
      </c>
      <c r="F276">
        <v>122755</v>
      </c>
    </row>
    <row r="277" spans="1:6" x14ac:dyDescent="0.3">
      <c r="A277">
        <v>171999</v>
      </c>
      <c r="B277">
        <v>107308</v>
      </c>
      <c r="C277">
        <v>191465</v>
      </c>
      <c r="D277">
        <v>164176</v>
      </c>
      <c r="E277">
        <v>27289</v>
      </c>
      <c r="F277">
        <v>149968</v>
      </c>
    </row>
    <row r="278" spans="1:6" x14ac:dyDescent="0.3">
      <c r="A278">
        <v>136365</v>
      </c>
      <c r="B278">
        <v>82226</v>
      </c>
      <c r="C278">
        <v>150939</v>
      </c>
      <c r="D278">
        <v>106205</v>
      </c>
      <c r="E278">
        <v>44734</v>
      </c>
      <c r="F278">
        <v>97153</v>
      </c>
    </row>
    <row r="279" spans="1:6" x14ac:dyDescent="0.3">
      <c r="A279">
        <v>68743</v>
      </c>
      <c r="B279">
        <v>10375</v>
      </c>
      <c r="C279">
        <v>120400</v>
      </c>
      <c r="D279">
        <v>31228</v>
      </c>
      <c r="E279">
        <v>89172</v>
      </c>
      <c r="F279">
        <v>22787</v>
      </c>
    </row>
    <row r="280" spans="1:6" x14ac:dyDescent="0.3">
      <c r="A280">
        <v>157971</v>
      </c>
      <c r="B280">
        <v>135822</v>
      </c>
      <c r="C280">
        <v>215011</v>
      </c>
      <c r="D280">
        <v>178336</v>
      </c>
      <c r="E280">
        <v>36675</v>
      </c>
      <c r="F280">
        <v>170841</v>
      </c>
    </row>
    <row r="281" spans="1:6" x14ac:dyDescent="0.3">
      <c r="A281">
        <v>138204</v>
      </c>
      <c r="B281">
        <v>62775</v>
      </c>
      <c r="C281">
        <v>106444</v>
      </c>
      <c r="D281">
        <v>57376</v>
      </c>
      <c r="E281">
        <v>49068</v>
      </c>
      <c r="F281">
        <v>45941</v>
      </c>
    </row>
    <row r="282" spans="1:6" x14ac:dyDescent="0.3">
      <c r="A282">
        <v>87384</v>
      </c>
      <c r="B282">
        <v>45983</v>
      </c>
      <c r="C282">
        <v>137814</v>
      </c>
      <c r="D282">
        <v>88730</v>
      </c>
      <c r="E282">
        <v>49084</v>
      </c>
      <c r="F282">
        <v>74393</v>
      </c>
    </row>
    <row r="283" spans="1:6" x14ac:dyDescent="0.3">
      <c r="A283">
        <v>188299</v>
      </c>
      <c r="B283">
        <v>146389</v>
      </c>
      <c r="C283">
        <v>202430</v>
      </c>
      <c r="D283">
        <v>121749</v>
      </c>
      <c r="E283">
        <v>80681</v>
      </c>
      <c r="F283">
        <v>114739</v>
      </c>
    </row>
    <row r="284" spans="1:6" x14ac:dyDescent="0.3">
      <c r="A284">
        <v>177556</v>
      </c>
      <c r="B284">
        <v>103382</v>
      </c>
      <c r="C284">
        <v>149542</v>
      </c>
      <c r="D284">
        <v>116909</v>
      </c>
      <c r="E284">
        <v>32633</v>
      </c>
      <c r="F284">
        <v>97895</v>
      </c>
    </row>
    <row r="285" spans="1:6" x14ac:dyDescent="0.3">
      <c r="A285">
        <v>127231</v>
      </c>
      <c r="B285">
        <v>48843</v>
      </c>
      <c r="C285">
        <v>84857</v>
      </c>
      <c r="D285">
        <v>36102</v>
      </c>
      <c r="E285">
        <v>48755</v>
      </c>
      <c r="F285">
        <v>26480</v>
      </c>
    </row>
    <row r="286" spans="1:6" x14ac:dyDescent="0.3">
      <c r="A286">
        <v>57421</v>
      </c>
      <c r="B286">
        <v>29694</v>
      </c>
      <c r="C286">
        <v>54052</v>
      </c>
      <c r="D286">
        <v>-26056</v>
      </c>
      <c r="E286">
        <v>80108</v>
      </c>
      <c r="F286">
        <v>-39599</v>
      </c>
    </row>
    <row r="287" spans="1:6" x14ac:dyDescent="0.3">
      <c r="A287">
        <v>160944</v>
      </c>
      <c r="B287">
        <v>136734</v>
      </c>
      <c r="C287">
        <v>114735</v>
      </c>
      <c r="D287">
        <v>23406</v>
      </c>
      <c r="E287">
        <v>91329</v>
      </c>
      <c r="F287">
        <v>14642</v>
      </c>
    </row>
    <row r="288" spans="1:6" x14ac:dyDescent="0.3">
      <c r="A288">
        <v>122240</v>
      </c>
      <c r="B288">
        <v>47925</v>
      </c>
      <c r="C288">
        <v>173190</v>
      </c>
      <c r="D288">
        <v>126823</v>
      </c>
      <c r="E288">
        <v>46367</v>
      </c>
      <c r="F288">
        <v>114717</v>
      </c>
    </row>
    <row r="289" spans="1:6" x14ac:dyDescent="0.3">
      <c r="A289">
        <v>175703</v>
      </c>
      <c r="B289">
        <v>109154</v>
      </c>
      <c r="C289">
        <v>137174</v>
      </c>
      <c r="D289">
        <v>51587</v>
      </c>
      <c r="E289">
        <v>85587</v>
      </c>
      <c r="F289">
        <v>38831</v>
      </c>
    </row>
    <row r="290" spans="1:6" x14ac:dyDescent="0.3">
      <c r="A290">
        <v>124069</v>
      </c>
      <c r="B290">
        <v>108820</v>
      </c>
      <c r="C290">
        <v>163657</v>
      </c>
      <c r="D290">
        <v>74863</v>
      </c>
      <c r="E290">
        <v>88794</v>
      </c>
      <c r="F290">
        <v>64884</v>
      </c>
    </row>
    <row r="291" spans="1:6" x14ac:dyDescent="0.3">
      <c r="A291">
        <v>147543</v>
      </c>
      <c r="B291">
        <v>136882</v>
      </c>
      <c r="C291">
        <v>148021</v>
      </c>
      <c r="D291">
        <v>74445</v>
      </c>
      <c r="E291">
        <v>73576</v>
      </c>
      <c r="F291">
        <v>62759</v>
      </c>
    </row>
    <row r="292" spans="1:6" x14ac:dyDescent="0.3">
      <c r="A292">
        <v>60526</v>
      </c>
      <c r="B292">
        <v>-18384</v>
      </c>
      <c r="C292">
        <v>201725</v>
      </c>
      <c r="D292">
        <v>125762</v>
      </c>
      <c r="E292">
        <v>75963</v>
      </c>
      <c r="F292">
        <v>108974</v>
      </c>
    </row>
    <row r="293" spans="1:6" x14ac:dyDescent="0.3">
      <c r="A293">
        <v>174982</v>
      </c>
      <c r="B293">
        <v>96363</v>
      </c>
      <c r="C293">
        <v>27208</v>
      </c>
      <c r="D293">
        <v>-16774</v>
      </c>
      <c r="E293">
        <v>43982</v>
      </c>
      <c r="F293">
        <v>-18981</v>
      </c>
    </row>
    <row r="294" spans="1:6" x14ac:dyDescent="0.3">
      <c r="A294">
        <v>191826</v>
      </c>
      <c r="B294">
        <v>125904</v>
      </c>
      <c r="C294">
        <v>145691</v>
      </c>
      <c r="D294">
        <v>84212</v>
      </c>
      <c r="E294">
        <v>61479</v>
      </c>
      <c r="F294">
        <v>72089</v>
      </c>
    </row>
    <row r="295" spans="1:6" x14ac:dyDescent="0.3">
      <c r="A295">
        <v>148452</v>
      </c>
      <c r="B295">
        <v>125057</v>
      </c>
      <c r="C295">
        <v>194135</v>
      </c>
      <c r="D295">
        <v>149834</v>
      </c>
      <c r="E295">
        <v>44301</v>
      </c>
      <c r="F295">
        <v>139279</v>
      </c>
    </row>
    <row r="296" spans="1:6" x14ac:dyDescent="0.3">
      <c r="A296">
        <v>60699</v>
      </c>
      <c r="B296">
        <v>-14362</v>
      </c>
      <c r="C296">
        <v>231014</v>
      </c>
      <c r="D296">
        <v>159741</v>
      </c>
      <c r="E296">
        <v>71273</v>
      </c>
      <c r="F296">
        <v>152846</v>
      </c>
    </row>
    <row r="297" spans="1:6" x14ac:dyDescent="0.3">
      <c r="A297">
        <v>174481</v>
      </c>
      <c r="B297">
        <v>128896</v>
      </c>
      <c r="C297">
        <v>15353</v>
      </c>
      <c r="D297">
        <v>-18816</v>
      </c>
      <c r="E297">
        <v>34169</v>
      </c>
      <c r="F297">
        <v>-36979</v>
      </c>
    </row>
    <row r="298" spans="1:6" x14ac:dyDescent="0.3">
      <c r="A298">
        <v>68073</v>
      </c>
      <c r="B298">
        <v>22038</v>
      </c>
      <c r="C298">
        <v>179578</v>
      </c>
      <c r="D298">
        <v>116714</v>
      </c>
      <c r="E298">
        <v>62864</v>
      </c>
      <c r="F298">
        <v>109415</v>
      </c>
    </row>
    <row r="299" spans="1:6" x14ac:dyDescent="0.3">
      <c r="A299">
        <v>111929</v>
      </c>
      <c r="B299">
        <v>89600</v>
      </c>
      <c r="C299">
        <v>107015</v>
      </c>
      <c r="D299">
        <v>8653</v>
      </c>
      <c r="E299">
        <v>98362</v>
      </c>
      <c r="F299">
        <v>-3729</v>
      </c>
    </row>
    <row r="300" spans="1:6" x14ac:dyDescent="0.3">
      <c r="A300">
        <v>113133</v>
      </c>
      <c r="B300">
        <v>50843</v>
      </c>
      <c r="C300">
        <v>134769</v>
      </c>
      <c r="D300">
        <v>85175</v>
      </c>
      <c r="E300">
        <v>49594</v>
      </c>
      <c r="F300">
        <v>71754</v>
      </c>
    </row>
    <row r="301" spans="1:6" x14ac:dyDescent="0.3">
      <c r="A301">
        <v>162020</v>
      </c>
      <c r="B301">
        <v>127794</v>
      </c>
      <c r="C301">
        <v>164874</v>
      </c>
      <c r="D301">
        <v>118124</v>
      </c>
      <c r="E301">
        <v>46750</v>
      </c>
      <c r="F301">
        <v>108431</v>
      </c>
    </row>
    <row r="302" spans="1:6" x14ac:dyDescent="0.3">
      <c r="A302">
        <v>186728</v>
      </c>
      <c r="B302">
        <v>112988</v>
      </c>
      <c r="C302">
        <v>154515</v>
      </c>
      <c r="D302">
        <v>83361</v>
      </c>
      <c r="E302">
        <v>71154</v>
      </c>
      <c r="F302">
        <v>73988</v>
      </c>
    </row>
    <row r="303" spans="1:6" x14ac:dyDescent="0.3">
      <c r="A303">
        <v>81055</v>
      </c>
      <c r="B303">
        <v>33370</v>
      </c>
      <c r="C303">
        <v>197297</v>
      </c>
      <c r="D303">
        <v>152313</v>
      </c>
      <c r="E303">
        <v>44984</v>
      </c>
      <c r="F303">
        <v>142027</v>
      </c>
    </row>
    <row r="304" spans="1:6" x14ac:dyDescent="0.3">
      <c r="A304">
        <v>73429</v>
      </c>
      <c r="B304">
        <v>13229</v>
      </c>
      <c r="C304">
        <v>127335</v>
      </c>
      <c r="D304">
        <v>97619</v>
      </c>
      <c r="E304">
        <v>29716</v>
      </c>
      <c r="F304">
        <v>79824</v>
      </c>
    </row>
    <row r="305" spans="1:6" x14ac:dyDescent="0.3">
      <c r="A305">
        <v>67347</v>
      </c>
      <c r="B305">
        <v>40427</v>
      </c>
      <c r="C305">
        <v>104537</v>
      </c>
      <c r="D305">
        <v>41293</v>
      </c>
      <c r="E305">
        <v>63244</v>
      </c>
      <c r="F305">
        <v>23542</v>
      </c>
    </row>
    <row r="306" spans="1:6" x14ac:dyDescent="0.3">
      <c r="A306">
        <v>160719</v>
      </c>
      <c r="B306">
        <v>138848</v>
      </c>
      <c r="C306">
        <v>92249</v>
      </c>
      <c r="D306">
        <v>30590</v>
      </c>
      <c r="E306">
        <v>61659</v>
      </c>
      <c r="F306">
        <v>21250</v>
      </c>
    </row>
    <row r="307" spans="1:6" x14ac:dyDescent="0.3">
      <c r="A307">
        <v>105099</v>
      </c>
      <c r="B307">
        <v>59837</v>
      </c>
      <c r="C307">
        <v>253147</v>
      </c>
      <c r="D307">
        <v>160695</v>
      </c>
      <c r="E307">
        <v>92452</v>
      </c>
      <c r="F307">
        <v>149961</v>
      </c>
    </row>
    <row r="308" spans="1:6" x14ac:dyDescent="0.3">
      <c r="A308">
        <v>89922</v>
      </c>
      <c r="B308">
        <v>37009</v>
      </c>
      <c r="C308">
        <v>158050</v>
      </c>
      <c r="D308">
        <v>124782</v>
      </c>
      <c r="E308">
        <v>33268</v>
      </c>
      <c r="F308">
        <v>110452</v>
      </c>
    </row>
    <row r="309" spans="1:6" x14ac:dyDescent="0.3">
      <c r="A309">
        <v>169863</v>
      </c>
      <c r="B309">
        <v>134831</v>
      </c>
      <c r="C309">
        <v>154042</v>
      </c>
      <c r="D309">
        <v>83365</v>
      </c>
      <c r="E309">
        <v>70677</v>
      </c>
      <c r="F309">
        <v>77515</v>
      </c>
    </row>
    <row r="310" spans="1:6" x14ac:dyDescent="0.3">
      <c r="A310">
        <v>78141</v>
      </c>
      <c r="B310">
        <v>59067</v>
      </c>
      <c r="C310">
        <v>192677</v>
      </c>
      <c r="D310">
        <v>118203</v>
      </c>
      <c r="E310">
        <v>74474</v>
      </c>
      <c r="F310">
        <v>104035</v>
      </c>
    </row>
    <row r="311" spans="1:6" x14ac:dyDescent="0.3">
      <c r="A311">
        <v>104823</v>
      </c>
      <c r="B311">
        <v>71511</v>
      </c>
      <c r="C311">
        <v>85473</v>
      </c>
      <c r="D311">
        <v>47182</v>
      </c>
      <c r="E311">
        <v>38291</v>
      </c>
      <c r="F311">
        <v>36382</v>
      </c>
    </row>
    <row r="312" spans="1:6" x14ac:dyDescent="0.3">
      <c r="A312">
        <v>148723</v>
      </c>
      <c r="B312">
        <v>126312</v>
      </c>
      <c r="C312">
        <v>134619</v>
      </c>
      <c r="D312">
        <v>52701</v>
      </c>
      <c r="E312">
        <v>81918</v>
      </c>
      <c r="F312">
        <v>49298</v>
      </c>
    </row>
    <row r="313" spans="1:6" x14ac:dyDescent="0.3">
      <c r="A313">
        <v>149071</v>
      </c>
      <c r="B313">
        <v>87875</v>
      </c>
      <c r="C313">
        <v>203321</v>
      </c>
      <c r="D313">
        <v>172899</v>
      </c>
      <c r="E313">
        <v>30422</v>
      </c>
      <c r="F313">
        <v>161199</v>
      </c>
    </row>
    <row r="314" spans="1:6" x14ac:dyDescent="0.3">
      <c r="A314">
        <v>126373</v>
      </c>
      <c r="B314">
        <v>47121</v>
      </c>
      <c r="C314">
        <v>188229</v>
      </c>
      <c r="D314">
        <v>146514</v>
      </c>
      <c r="E314">
        <v>41715</v>
      </c>
      <c r="F314">
        <v>142965</v>
      </c>
    </row>
    <row r="315" spans="1:6" x14ac:dyDescent="0.3">
      <c r="A315">
        <v>56548</v>
      </c>
      <c r="B315">
        <v>23371</v>
      </c>
      <c r="C315">
        <v>129070</v>
      </c>
      <c r="D315">
        <v>51424</v>
      </c>
      <c r="E315">
        <v>77646</v>
      </c>
      <c r="F315">
        <v>44943</v>
      </c>
    </row>
    <row r="316" spans="1:6" x14ac:dyDescent="0.3">
      <c r="A316">
        <v>181743</v>
      </c>
      <c r="B316">
        <v>171580</v>
      </c>
      <c r="C316">
        <v>67393</v>
      </c>
      <c r="D316">
        <v>46851</v>
      </c>
      <c r="E316">
        <v>20542</v>
      </c>
      <c r="F316">
        <v>30023</v>
      </c>
    </row>
    <row r="317" spans="1:6" x14ac:dyDescent="0.3">
      <c r="A317">
        <v>72420</v>
      </c>
      <c r="B317">
        <v>33120</v>
      </c>
      <c r="C317">
        <v>233004</v>
      </c>
      <c r="D317">
        <v>164260</v>
      </c>
      <c r="E317">
        <v>68744</v>
      </c>
      <c r="F317">
        <v>157465</v>
      </c>
    </row>
    <row r="318" spans="1:6" x14ac:dyDescent="0.3">
      <c r="A318">
        <v>87487</v>
      </c>
      <c r="B318">
        <v>44126</v>
      </c>
      <c r="C318">
        <v>143001</v>
      </c>
      <c r="D318">
        <v>117252</v>
      </c>
      <c r="E318">
        <v>25749</v>
      </c>
      <c r="F318">
        <v>109425</v>
      </c>
    </row>
    <row r="319" spans="1:6" x14ac:dyDescent="0.3">
      <c r="A319">
        <v>167360</v>
      </c>
      <c r="B319">
        <v>104008</v>
      </c>
      <c r="C319">
        <v>85349</v>
      </c>
      <c r="D319">
        <v>-2581</v>
      </c>
      <c r="E319">
        <v>87930</v>
      </c>
      <c r="F319">
        <v>-18637</v>
      </c>
    </row>
    <row r="320" spans="1:6" x14ac:dyDescent="0.3">
      <c r="A320">
        <v>154576</v>
      </c>
      <c r="B320">
        <v>79935</v>
      </c>
      <c r="C320">
        <v>154919</v>
      </c>
      <c r="D320">
        <v>107135</v>
      </c>
      <c r="E320">
        <v>47784</v>
      </c>
      <c r="F320">
        <v>101944</v>
      </c>
    </row>
    <row r="321" spans="1:6" x14ac:dyDescent="0.3">
      <c r="A321">
        <v>140353</v>
      </c>
      <c r="B321">
        <v>110072</v>
      </c>
      <c r="C321">
        <v>149658</v>
      </c>
      <c r="D321">
        <v>131027</v>
      </c>
      <c r="E321">
        <v>18631</v>
      </c>
      <c r="F321">
        <v>122855</v>
      </c>
    </row>
    <row r="322" spans="1:6" x14ac:dyDescent="0.3">
      <c r="A322">
        <v>101399</v>
      </c>
      <c r="B322">
        <v>67927</v>
      </c>
      <c r="C322">
        <v>158743</v>
      </c>
      <c r="D322">
        <v>92312</v>
      </c>
      <c r="E322">
        <v>66431</v>
      </c>
      <c r="F322">
        <v>81406</v>
      </c>
    </row>
    <row r="323" spans="1:6" x14ac:dyDescent="0.3">
      <c r="A323">
        <v>106492</v>
      </c>
      <c r="B323">
        <v>48808</v>
      </c>
      <c r="C323">
        <v>137157</v>
      </c>
      <c r="D323">
        <v>48541</v>
      </c>
      <c r="E323">
        <v>88616</v>
      </c>
      <c r="F323">
        <v>39442</v>
      </c>
    </row>
    <row r="324" spans="1:6" x14ac:dyDescent="0.3">
      <c r="A324">
        <v>113530</v>
      </c>
      <c r="B324">
        <v>67306</v>
      </c>
      <c r="C324">
        <v>98919</v>
      </c>
      <c r="D324">
        <v>19983</v>
      </c>
      <c r="E324">
        <v>78936</v>
      </c>
      <c r="F324">
        <v>8760</v>
      </c>
    </row>
    <row r="325" spans="1:6" x14ac:dyDescent="0.3">
      <c r="A325">
        <v>138340</v>
      </c>
      <c r="B325">
        <v>83483</v>
      </c>
      <c r="C325">
        <v>95094</v>
      </c>
      <c r="D325">
        <v>52012</v>
      </c>
      <c r="E325">
        <v>43082</v>
      </c>
      <c r="F325">
        <v>47301</v>
      </c>
    </row>
    <row r="326" spans="1:6" x14ac:dyDescent="0.3">
      <c r="A326">
        <v>175426</v>
      </c>
      <c r="B326">
        <v>101399</v>
      </c>
      <c r="C326">
        <v>113625</v>
      </c>
      <c r="D326">
        <v>50270</v>
      </c>
      <c r="E326">
        <v>63355</v>
      </c>
      <c r="F326">
        <v>38404</v>
      </c>
    </row>
    <row r="327" spans="1:6" x14ac:dyDescent="0.3">
      <c r="A327">
        <v>176303</v>
      </c>
      <c r="B327">
        <v>160864</v>
      </c>
      <c r="C327">
        <v>179305</v>
      </c>
      <c r="D327">
        <v>136167</v>
      </c>
      <c r="E327">
        <v>43138</v>
      </c>
      <c r="F327">
        <v>125203</v>
      </c>
    </row>
    <row r="328" spans="1:6" x14ac:dyDescent="0.3">
      <c r="A328">
        <v>198702</v>
      </c>
      <c r="B328">
        <v>127639</v>
      </c>
      <c r="C328">
        <v>228105</v>
      </c>
      <c r="D328">
        <v>170572</v>
      </c>
      <c r="E328">
        <v>67161</v>
      </c>
      <c r="F328">
        <v>101798</v>
      </c>
    </row>
    <row r="329" spans="1:6" x14ac:dyDescent="0.3">
      <c r="A329">
        <v>188051</v>
      </c>
      <c r="B329">
        <v>151862</v>
      </c>
      <c r="C329">
        <v>182783</v>
      </c>
      <c r="D329">
        <v>115622</v>
      </c>
      <c r="E329">
        <v>74560</v>
      </c>
      <c r="F329">
        <v>125398</v>
      </c>
    </row>
    <row r="330" spans="1:6" x14ac:dyDescent="0.3">
      <c r="A330">
        <v>136205</v>
      </c>
      <c r="B330">
        <v>119295</v>
      </c>
      <c r="C330">
        <v>214462</v>
      </c>
      <c r="D330">
        <v>139902</v>
      </c>
      <c r="E330">
        <v>61857</v>
      </c>
      <c r="F330">
        <v>130955</v>
      </c>
    </row>
    <row r="331" spans="1:6" x14ac:dyDescent="0.3">
      <c r="A331">
        <v>67153</v>
      </c>
      <c r="B331">
        <v>-2612</v>
      </c>
      <c r="C331">
        <v>197008</v>
      </c>
      <c r="D331">
        <v>135151</v>
      </c>
      <c r="E331">
        <v>54071</v>
      </c>
      <c r="F331">
        <v>45715</v>
      </c>
    </row>
    <row r="332" spans="1:6" x14ac:dyDescent="0.3">
      <c r="A332">
        <v>145457</v>
      </c>
      <c r="B332">
        <v>77591</v>
      </c>
      <c r="C332">
        <v>116472</v>
      </c>
      <c r="D332">
        <v>62401</v>
      </c>
      <c r="E332">
        <v>60838</v>
      </c>
      <c r="F332">
        <v>39426</v>
      </c>
    </row>
    <row r="333" spans="1:6" x14ac:dyDescent="0.3">
      <c r="A333">
        <v>88714</v>
      </c>
      <c r="B333">
        <v>24621</v>
      </c>
      <c r="C333">
        <v>114496</v>
      </c>
      <c r="D333">
        <v>53658</v>
      </c>
      <c r="E333">
        <v>64145</v>
      </c>
      <c r="F333">
        <v>26767</v>
      </c>
    </row>
    <row r="334" spans="1:6" x14ac:dyDescent="0.3">
      <c r="A334">
        <v>183533</v>
      </c>
      <c r="B334">
        <v>159242</v>
      </c>
      <c r="C334">
        <v>100040</v>
      </c>
      <c r="D334">
        <v>35895</v>
      </c>
      <c r="E334">
        <v>91971</v>
      </c>
      <c r="F334">
        <v>131390</v>
      </c>
    </row>
    <row r="335" spans="1:6" x14ac:dyDescent="0.3">
      <c r="A335">
        <v>127794</v>
      </c>
      <c r="B335">
        <v>86953</v>
      </c>
      <c r="C335">
        <v>226046</v>
      </c>
      <c r="D335">
        <v>134075</v>
      </c>
      <c r="E335">
        <v>91272</v>
      </c>
      <c r="F335">
        <v>57564</v>
      </c>
    </row>
    <row r="336" spans="1:6" x14ac:dyDescent="0.3">
      <c r="A336">
        <v>150500</v>
      </c>
      <c r="B336">
        <v>112456</v>
      </c>
      <c r="C336">
        <v>155711</v>
      </c>
      <c r="D336">
        <v>64439</v>
      </c>
      <c r="E336">
        <v>94751</v>
      </c>
      <c r="F336">
        <v>51401</v>
      </c>
    </row>
    <row r="337" spans="1:6" x14ac:dyDescent="0.3">
      <c r="A337">
        <v>195643</v>
      </c>
      <c r="B337">
        <v>127702</v>
      </c>
      <c r="C337">
        <v>148453</v>
      </c>
      <c r="D337">
        <v>53702</v>
      </c>
      <c r="E337">
        <v>73712</v>
      </c>
      <c r="F337">
        <v>119222</v>
      </c>
    </row>
    <row r="338" spans="1:6" x14ac:dyDescent="0.3">
      <c r="A338">
        <v>135457</v>
      </c>
      <c r="B338">
        <v>112400</v>
      </c>
      <c r="C338">
        <v>205707</v>
      </c>
      <c r="D338">
        <v>131995</v>
      </c>
      <c r="E338">
        <v>70731</v>
      </c>
      <c r="F338">
        <v>107776</v>
      </c>
    </row>
    <row r="339" spans="1:6" x14ac:dyDescent="0.3">
      <c r="A339">
        <v>70567</v>
      </c>
      <c r="B339">
        <v>30828</v>
      </c>
      <c r="C339">
        <v>196428</v>
      </c>
      <c r="D339">
        <v>125697</v>
      </c>
      <c r="E339">
        <v>18754</v>
      </c>
      <c r="F339">
        <v>86154</v>
      </c>
    </row>
    <row r="340" spans="1:6" x14ac:dyDescent="0.3">
      <c r="A340">
        <v>58706</v>
      </c>
      <c r="B340">
        <v>39812</v>
      </c>
      <c r="C340">
        <v>108632</v>
      </c>
      <c r="D340">
        <v>89878</v>
      </c>
      <c r="E340">
        <v>98986</v>
      </c>
      <c r="F340">
        <v>-39543</v>
      </c>
    </row>
    <row r="341" spans="1:6" x14ac:dyDescent="0.3">
      <c r="A341">
        <v>186998</v>
      </c>
      <c r="B341">
        <v>167502</v>
      </c>
      <c r="C341">
        <v>77849</v>
      </c>
      <c r="D341">
        <v>-21137</v>
      </c>
      <c r="E341">
        <v>44806</v>
      </c>
      <c r="F341">
        <v>188590</v>
      </c>
    </row>
    <row r="342" spans="1:6" x14ac:dyDescent="0.3">
      <c r="A342">
        <v>105147</v>
      </c>
      <c r="B342">
        <v>45481</v>
      </c>
      <c r="C342">
        <v>243949</v>
      </c>
      <c r="D342">
        <v>199143</v>
      </c>
      <c r="E342">
        <v>53787</v>
      </c>
      <c r="F342">
        <v>76599</v>
      </c>
    </row>
    <row r="343" spans="1:6" x14ac:dyDescent="0.3">
      <c r="A343">
        <v>145081</v>
      </c>
      <c r="B343">
        <v>67025</v>
      </c>
      <c r="C343">
        <v>147849</v>
      </c>
      <c r="D343">
        <v>94062</v>
      </c>
      <c r="E343">
        <v>49196</v>
      </c>
      <c r="F343">
        <v>34943</v>
      </c>
    </row>
    <row r="344" spans="1:6" x14ac:dyDescent="0.3">
      <c r="A344">
        <v>126865</v>
      </c>
      <c r="B344">
        <v>85209</v>
      </c>
      <c r="C344">
        <v>90106</v>
      </c>
      <c r="D344">
        <v>40910</v>
      </c>
      <c r="E344">
        <v>52900</v>
      </c>
      <c r="F344">
        <v>103071</v>
      </c>
    </row>
    <row r="345" spans="1:6" x14ac:dyDescent="0.3">
      <c r="A345">
        <v>191877</v>
      </c>
      <c r="B345">
        <v>146026</v>
      </c>
      <c r="C345">
        <v>172904</v>
      </c>
      <c r="D345">
        <v>120004</v>
      </c>
      <c r="E345">
        <v>78437</v>
      </c>
      <c r="F345">
        <v>95000</v>
      </c>
    </row>
    <row r="346" spans="1:6" x14ac:dyDescent="0.3">
      <c r="A346">
        <v>90372</v>
      </c>
      <c r="B346">
        <v>64993</v>
      </c>
      <c r="C346">
        <v>192858</v>
      </c>
      <c r="D346">
        <v>114421</v>
      </c>
      <c r="E346">
        <v>20110</v>
      </c>
      <c r="F346">
        <v>87547</v>
      </c>
    </row>
    <row r="347" spans="1:6" x14ac:dyDescent="0.3">
      <c r="A347">
        <v>132617</v>
      </c>
      <c r="B347">
        <v>113021</v>
      </c>
      <c r="C347">
        <v>121744</v>
      </c>
      <c r="D347">
        <v>101634</v>
      </c>
      <c r="E347">
        <v>81549</v>
      </c>
      <c r="F347">
        <v>51175</v>
      </c>
    </row>
    <row r="348" spans="1:6" x14ac:dyDescent="0.3">
      <c r="A348">
        <v>123445</v>
      </c>
      <c r="B348">
        <v>111422</v>
      </c>
      <c r="C348">
        <v>151334</v>
      </c>
      <c r="D348">
        <v>69785</v>
      </c>
      <c r="E348">
        <v>95073</v>
      </c>
      <c r="F348">
        <v>88254</v>
      </c>
    </row>
    <row r="349" spans="1:6" x14ac:dyDescent="0.3">
      <c r="A349">
        <v>196451</v>
      </c>
      <c r="B349">
        <v>126787</v>
      </c>
      <c r="C349">
        <v>191218</v>
      </c>
      <c r="D349">
        <v>96145</v>
      </c>
      <c r="E349">
        <v>83099</v>
      </c>
      <c r="F349">
        <v>86162</v>
      </c>
    </row>
    <row r="350" spans="1:6" x14ac:dyDescent="0.3">
      <c r="A350">
        <v>197159</v>
      </c>
      <c r="B350">
        <v>138291</v>
      </c>
      <c r="C350">
        <v>174553</v>
      </c>
      <c r="D350">
        <v>91454</v>
      </c>
      <c r="E350">
        <v>21643</v>
      </c>
      <c r="F350">
        <v>153914</v>
      </c>
    </row>
    <row r="351" spans="1:6" x14ac:dyDescent="0.3">
      <c r="A351">
        <v>115697</v>
      </c>
      <c r="B351">
        <v>89668</v>
      </c>
      <c r="C351">
        <v>181516</v>
      </c>
      <c r="D351">
        <v>159873</v>
      </c>
      <c r="E351">
        <v>78646</v>
      </c>
      <c r="F351">
        <v>32094</v>
      </c>
    </row>
    <row r="352" spans="1:6" x14ac:dyDescent="0.3">
      <c r="A352">
        <v>128229</v>
      </c>
      <c r="B352">
        <v>68414</v>
      </c>
      <c r="C352">
        <v>123894</v>
      </c>
      <c r="D352">
        <v>45248</v>
      </c>
      <c r="E352">
        <v>77539</v>
      </c>
      <c r="F352">
        <v>50426</v>
      </c>
    </row>
    <row r="353" spans="1:6" x14ac:dyDescent="0.3">
      <c r="A353">
        <v>63428</v>
      </c>
      <c r="B353">
        <v>9494</v>
      </c>
      <c r="C353">
        <v>130506</v>
      </c>
      <c r="D353">
        <v>52967</v>
      </c>
      <c r="E353">
        <v>72775</v>
      </c>
      <c r="F353">
        <v>-51067</v>
      </c>
    </row>
    <row r="354" spans="1:6" x14ac:dyDescent="0.3">
      <c r="A354">
        <v>78854</v>
      </c>
      <c r="B354">
        <v>62598</v>
      </c>
      <c r="C354">
        <v>39752</v>
      </c>
      <c r="D354">
        <v>-33023</v>
      </c>
      <c r="E354">
        <v>48937</v>
      </c>
      <c r="F354">
        <v>107087</v>
      </c>
    </row>
    <row r="355" spans="1:6" x14ac:dyDescent="0.3">
      <c r="A355">
        <v>134730</v>
      </c>
      <c r="B355">
        <v>99679</v>
      </c>
      <c r="C355">
        <v>158854</v>
      </c>
      <c r="D355">
        <v>109917</v>
      </c>
      <c r="E355">
        <v>90054</v>
      </c>
      <c r="F355">
        <v>41753</v>
      </c>
    </row>
    <row r="356" spans="1:6" x14ac:dyDescent="0.3">
      <c r="A356">
        <v>127984</v>
      </c>
      <c r="B356">
        <v>58192</v>
      </c>
      <c r="C356">
        <v>147065</v>
      </c>
      <c r="D356">
        <v>57011</v>
      </c>
      <c r="E356">
        <v>49051</v>
      </c>
      <c r="F356">
        <v>55351</v>
      </c>
    </row>
    <row r="357" spans="1:6" x14ac:dyDescent="0.3">
      <c r="A357">
        <v>134045</v>
      </c>
      <c r="B357">
        <v>66627</v>
      </c>
      <c r="C357">
        <v>123445</v>
      </c>
      <c r="D357">
        <v>74394</v>
      </c>
      <c r="E357">
        <v>18471</v>
      </c>
      <c r="F357">
        <v>71600</v>
      </c>
    </row>
    <row r="358" spans="1:6" x14ac:dyDescent="0.3">
      <c r="A358">
        <v>96850</v>
      </c>
      <c r="B358">
        <v>32630</v>
      </c>
      <c r="C358">
        <v>101099</v>
      </c>
      <c r="D358">
        <v>82628</v>
      </c>
      <c r="E358">
        <v>21397</v>
      </c>
      <c r="F358">
        <v>120284</v>
      </c>
    </row>
    <row r="359" spans="1:6" x14ac:dyDescent="0.3">
      <c r="A359">
        <v>73284</v>
      </c>
      <c r="B359">
        <v>1954</v>
      </c>
      <c r="C359">
        <v>146438</v>
      </c>
      <c r="D359">
        <v>125041</v>
      </c>
      <c r="E359">
        <v>40122</v>
      </c>
      <c r="F359">
        <v>58184</v>
      </c>
    </row>
    <row r="360" spans="1:6" x14ac:dyDescent="0.3">
      <c r="A360">
        <v>112812</v>
      </c>
      <c r="B360">
        <v>94813</v>
      </c>
      <c r="C360">
        <v>105323</v>
      </c>
      <c r="D360">
        <v>65201</v>
      </c>
      <c r="E360">
        <v>57963</v>
      </c>
      <c r="F360">
        <v>75190</v>
      </c>
    </row>
    <row r="361" spans="1:6" x14ac:dyDescent="0.3">
      <c r="A361">
        <v>158899</v>
      </c>
      <c r="B361">
        <v>122698</v>
      </c>
      <c r="C361">
        <v>137249</v>
      </c>
      <c r="D361">
        <v>79286</v>
      </c>
      <c r="E361">
        <v>44309</v>
      </c>
      <c r="F361">
        <v>101026</v>
      </c>
    </row>
    <row r="362" spans="1:6" x14ac:dyDescent="0.3">
      <c r="A362">
        <v>167666</v>
      </c>
      <c r="B362">
        <v>154827</v>
      </c>
      <c r="C362">
        <v>162413</v>
      </c>
      <c r="D362">
        <v>118104</v>
      </c>
      <c r="E362">
        <v>58619</v>
      </c>
      <c r="F362">
        <v>173075</v>
      </c>
    </row>
    <row r="363" spans="1:6" x14ac:dyDescent="0.3">
      <c r="A363">
        <v>67069</v>
      </c>
      <c r="B363">
        <v>49538</v>
      </c>
      <c r="C363">
        <v>243747</v>
      </c>
      <c r="D363">
        <v>185128</v>
      </c>
      <c r="E363">
        <v>22736</v>
      </c>
      <c r="F363">
        <v>74143</v>
      </c>
    </row>
    <row r="364" spans="1:6" x14ac:dyDescent="0.3">
      <c r="A364">
        <v>112424</v>
      </c>
      <c r="B364">
        <v>56821</v>
      </c>
      <c r="C364">
        <v>106589</v>
      </c>
      <c r="D364">
        <v>83853</v>
      </c>
      <c r="E364">
        <v>95797</v>
      </c>
      <c r="F364">
        <v>845</v>
      </c>
    </row>
    <row r="365" spans="1:6" x14ac:dyDescent="0.3">
      <c r="A365">
        <v>142573</v>
      </c>
      <c r="B365">
        <v>123016</v>
      </c>
      <c r="C365">
        <v>100073</v>
      </c>
      <c r="D365">
        <v>4276</v>
      </c>
      <c r="E365">
        <v>15162</v>
      </c>
      <c r="F365">
        <v>198851</v>
      </c>
    </row>
    <row r="366" spans="1:6" x14ac:dyDescent="0.3">
      <c r="A366">
        <v>198087</v>
      </c>
      <c r="B366">
        <v>138030</v>
      </c>
      <c r="C366">
        <v>217987</v>
      </c>
      <c r="D366">
        <v>202825</v>
      </c>
      <c r="E366">
        <v>24833</v>
      </c>
      <c r="F366">
        <v>155892</v>
      </c>
    </row>
    <row r="367" spans="1:6" x14ac:dyDescent="0.3">
      <c r="A367">
        <v>91800</v>
      </c>
      <c r="B367">
        <v>76453</v>
      </c>
      <c r="C367">
        <v>190621</v>
      </c>
      <c r="D367">
        <v>165788</v>
      </c>
      <c r="E367">
        <v>17643</v>
      </c>
      <c r="F367">
        <v>127856</v>
      </c>
    </row>
    <row r="368" spans="1:6" x14ac:dyDescent="0.3">
      <c r="A368">
        <v>196964</v>
      </c>
      <c r="B368">
        <v>139665</v>
      </c>
      <c r="C368">
        <v>155516</v>
      </c>
      <c r="D368">
        <v>137873</v>
      </c>
      <c r="E368">
        <v>45682</v>
      </c>
      <c r="F368">
        <v>114767</v>
      </c>
    </row>
    <row r="369" spans="1:6" x14ac:dyDescent="0.3">
      <c r="A369">
        <v>116707</v>
      </c>
      <c r="B369">
        <v>41279</v>
      </c>
      <c r="C369">
        <v>176738</v>
      </c>
      <c r="D369">
        <v>131056</v>
      </c>
      <c r="E369">
        <v>92465</v>
      </c>
      <c r="F369">
        <v>14876</v>
      </c>
    </row>
    <row r="370" spans="1:6" x14ac:dyDescent="0.3">
      <c r="A370">
        <v>199817</v>
      </c>
      <c r="B370">
        <v>161589</v>
      </c>
      <c r="C370">
        <v>111880</v>
      </c>
      <c r="D370">
        <v>19415</v>
      </c>
      <c r="E370">
        <v>41928</v>
      </c>
      <c r="F370">
        <v>162059</v>
      </c>
    </row>
    <row r="371" spans="1:6" x14ac:dyDescent="0.3">
      <c r="A371">
        <v>56304</v>
      </c>
      <c r="B371">
        <v>38959</v>
      </c>
      <c r="C371">
        <v>216110</v>
      </c>
      <c r="D371">
        <v>174182</v>
      </c>
      <c r="E371">
        <v>39259</v>
      </c>
      <c r="F371">
        <v>31648</v>
      </c>
    </row>
    <row r="372" spans="1:6" x14ac:dyDescent="0.3">
      <c r="A372">
        <v>69446</v>
      </c>
      <c r="B372">
        <v>57110</v>
      </c>
      <c r="C372">
        <v>88259</v>
      </c>
      <c r="D372">
        <v>49000</v>
      </c>
      <c r="E372">
        <v>90415</v>
      </c>
      <c r="F372">
        <v>46155</v>
      </c>
    </row>
    <row r="373" spans="1:6" x14ac:dyDescent="0.3">
      <c r="A373">
        <v>68474</v>
      </c>
      <c r="B373">
        <v>11714</v>
      </c>
      <c r="C373">
        <v>139142</v>
      </c>
      <c r="D373">
        <v>48727</v>
      </c>
      <c r="E373">
        <v>59629</v>
      </c>
      <c r="F373">
        <v>13339</v>
      </c>
    </row>
    <row r="374" spans="1:6" x14ac:dyDescent="0.3">
      <c r="A374">
        <v>119184</v>
      </c>
      <c r="B374">
        <v>61239</v>
      </c>
      <c r="C374">
        <v>87432</v>
      </c>
      <c r="D374">
        <v>27803</v>
      </c>
      <c r="E374">
        <v>98457</v>
      </c>
      <c r="F374">
        <v>-20435</v>
      </c>
    </row>
    <row r="375" spans="1:6" x14ac:dyDescent="0.3">
      <c r="A375">
        <v>118673</v>
      </c>
      <c r="B375">
        <v>43040</v>
      </c>
      <c r="C375">
        <v>94379</v>
      </c>
      <c r="D375">
        <v>-4078</v>
      </c>
      <c r="E375">
        <v>93258</v>
      </c>
      <c r="F375">
        <v>31801</v>
      </c>
    </row>
    <row r="376" spans="1:6" x14ac:dyDescent="0.3">
      <c r="A376">
        <v>124071</v>
      </c>
      <c r="B376">
        <v>56745</v>
      </c>
      <c r="C376">
        <v>139983</v>
      </c>
      <c r="D376">
        <v>46725</v>
      </c>
      <c r="E376">
        <v>45651</v>
      </c>
      <c r="F376">
        <v>114451</v>
      </c>
    </row>
    <row r="377" spans="1:6" x14ac:dyDescent="0.3">
      <c r="A377">
        <v>117263</v>
      </c>
      <c r="B377">
        <v>47629</v>
      </c>
      <c r="C377">
        <v>166768</v>
      </c>
      <c r="D377">
        <v>121117</v>
      </c>
      <c r="E377">
        <v>52823</v>
      </c>
      <c r="F377">
        <v>13335</v>
      </c>
    </row>
    <row r="378" spans="1:6" x14ac:dyDescent="0.3">
      <c r="A378">
        <v>193891</v>
      </c>
      <c r="B378">
        <v>120021</v>
      </c>
      <c r="C378">
        <v>78429</v>
      </c>
      <c r="D378">
        <v>25606</v>
      </c>
      <c r="E378">
        <v>45573</v>
      </c>
      <c r="F378">
        <v>88560</v>
      </c>
    </row>
    <row r="379" spans="1:6" x14ac:dyDescent="0.3">
      <c r="A379">
        <v>192055</v>
      </c>
      <c r="B379">
        <v>163922</v>
      </c>
      <c r="C379">
        <v>149304</v>
      </c>
      <c r="D379">
        <v>103731</v>
      </c>
      <c r="E379">
        <v>15781</v>
      </c>
      <c r="F379">
        <v>164798</v>
      </c>
    </row>
    <row r="380" spans="1:6" x14ac:dyDescent="0.3">
      <c r="A380">
        <v>56823</v>
      </c>
      <c r="B380">
        <v>28334</v>
      </c>
      <c r="C380">
        <v>198861</v>
      </c>
      <c r="D380">
        <v>183080</v>
      </c>
      <c r="E380">
        <v>44118</v>
      </c>
      <c r="F380">
        <v>40064</v>
      </c>
    </row>
    <row r="381" spans="1:6" x14ac:dyDescent="0.3">
      <c r="A381">
        <v>63565</v>
      </c>
      <c r="B381">
        <v>33211</v>
      </c>
      <c r="C381">
        <v>88295</v>
      </c>
      <c r="D381">
        <v>44177</v>
      </c>
      <c r="E381">
        <v>38648</v>
      </c>
      <c r="F381">
        <v>37553</v>
      </c>
    </row>
    <row r="382" spans="1:6" x14ac:dyDescent="0.3">
      <c r="A382">
        <v>71253</v>
      </c>
      <c r="B382">
        <v>-2913</v>
      </c>
      <c r="C382">
        <v>96162</v>
      </c>
      <c r="D382">
        <v>57514</v>
      </c>
      <c r="E382">
        <v>41390</v>
      </c>
      <c r="F382">
        <v>8771</v>
      </c>
    </row>
    <row r="383" spans="1:6" x14ac:dyDescent="0.3">
      <c r="A383">
        <v>183623</v>
      </c>
      <c r="B383">
        <v>112622</v>
      </c>
      <c r="C383">
        <v>65650</v>
      </c>
      <c r="D383">
        <v>24260</v>
      </c>
      <c r="E383">
        <v>66707</v>
      </c>
      <c r="F383">
        <v>112599</v>
      </c>
    </row>
    <row r="384" spans="1:6" x14ac:dyDescent="0.3">
      <c r="A384">
        <v>188311</v>
      </c>
      <c r="B384">
        <v>171601</v>
      </c>
      <c r="C384">
        <v>181781</v>
      </c>
      <c r="D384">
        <v>115074</v>
      </c>
      <c r="E384">
        <v>36038</v>
      </c>
      <c r="F384">
        <v>166869</v>
      </c>
    </row>
    <row r="385" spans="1:6" x14ac:dyDescent="0.3">
      <c r="A385">
        <v>87991</v>
      </c>
      <c r="B385">
        <v>71020</v>
      </c>
      <c r="C385">
        <v>212985</v>
      </c>
      <c r="D385">
        <v>176947</v>
      </c>
      <c r="E385">
        <v>92067</v>
      </c>
      <c r="F385">
        <v>11371</v>
      </c>
    </row>
    <row r="386" spans="1:6" x14ac:dyDescent="0.3">
      <c r="A386">
        <v>56530</v>
      </c>
      <c r="B386">
        <v>35414</v>
      </c>
      <c r="C386">
        <v>120159</v>
      </c>
      <c r="D386">
        <v>28092</v>
      </c>
      <c r="E386">
        <v>15282</v>
      </c>
      <c r="F386">
        <v>89989</v>
      </c>
    </row>
    <row r="387" spans="1:6" x14ac:dyDescent="0.3">
      <c r="A387">
        <v>175147</v>
      </c>
      <c r="B387">
        <v>100116</v>
      </c>
      <c r="C387">
        <v>121208</v>
      </c>
      <c r="D387">
        <v>105926</v>
      </c>
      <c r="E387">
        <v>32071</v>
      </c>
      <c r="F387">
        <v>117118</v>
      </c>
    </row>
    <row r="388" spans="1:6" x14ac:dyDescent="0.3">
      <c r="A388">
        <v>174661</v>
      </c>
      <c r="B388">
        <v>158755</v>
      </c>
      <c r="C388">
        <v>153496</v>
      </c>
      <c r="D388">
        <v>121425</v>
      </c>
      <c r="E388">
        <v>77987</v>
      </c>
      <c r="F388">
        <v>86210</v>
      </c>
    </row>
    <row r="389" spans="1:6" x14ac:dyDescent="0.3">
      <c r="A389">
        <v>104400</v>
      </c>
      <c r="B389">
        <v>69250</v>
      </c>
      <c r="C389">
        <v>181346</v>
      </c>
      <c r="D389">
        <v>103359</v>
      </c>
      <c r="E389">
        <v>57870</v>
      </c>
      <c r="F389">
        <v>44179</v>
      </c>
    </row>
    <row r="390" spans="1:6" x14ac:dyDescent="0.3">
      <c r="A390">
        <v>51283</v>
      </c>
      <c r="B390">
        <v>7592</v>
      </c>
      <c r="C390">
        <v>121102</v>
      </c>
      <c r="D390">
        <v>63232</v>
      </c>
      <c r="E390">
        <v>82065</v>
      </c>
      <c r="F390">
        <v>-63786</v>
      </c>
    </row>
    <row r="391" spans="1:6" x14ac:dyDescent="0.3">
      <c r="A391">
        <v>189076</v>
      </c>
      <c r="B391">
        <v>169324</v>
      </c>
      <c r="C391">
        <v>28717</v>
      </c>
      <c r="D391">
        <v>-53348</v>
      </c>
      <c r="E391">
        <v>41819</v>
      </c>
      <c r="F391">
        <v>197067</v>
      </c>
    </row>
    <row r="392" spans="1:6" x14ac:dyDescent="0.3">
      <c r="A392">
        <v>82994</v>
      </c>
      <c r="B392">
        <v>57958</v>
      </c>
      <c r="C392">
        <v>244750</v>
      </c>
      <c r="D392">
        <v>202931</v>
      </c>
      <c r="E392">
        <v>64416</v>
      </c>
      <c r="F392">
        <v>79230</v>
      </c>
    </row>
    <row r="393" spans="1:6" x14ac:dyDescent="0.3">
      <c r="A393">
        <v>181717</v>
      </c>
      <c r="B393">
        <v>140787</v>
      </c>
      <c r="C393">
        <v>155233</v>
      </c>
      <c r="D393">
        <v>90817</v>
      </c>
      <c r="E393">
        <v>45090</v>
      </c>
      <c r="F393">
        <v>181857</v>
      </c>
    </row>
    <row r="394" spans="1:6" x14ac:dyDescent="0.3">
      <c r="A394">
        <v>93732</v>
      </c>
      <c r="B394">
        <v>37427</v>
      </c>
      <c r="C394">
        <v>242622</v>
      </c>
      <c r="D394">
        <v>197532</v>
      </c>
      <c r="E394">
        <v>24346</v>
      </c>
      <c r="F394">
        <v>76531</v>
      </c>
    </row>
    <row r="395" spans="1:6" x14ac:dyDescent="0.3">
      <c r="A395">
        <v>119615</v>
      </c>
      <c r="B395">
        <v>73499</v>
      </c>
      <c r="C395">
        <v>103464</v>
      </c>
      <c r="D395">
        <v>79118</v>
      </c>
      <c r="E395">
        <v>40556</v>
      </c>
      <c r="F395">
        <v>125909</v>
      </c>
    </row>
    <row r="396" spans="1:6" x14ac:dyDescent="0.3">
      <c r="A396">
        <v>194302</v>
      </c>
      <c r="B396">
        <v>155293</v>
      </c>
      <c r="C396">
        <v>179250</v>
      </c>
      <c r="D396">
        <v>138694</v>
      </c>
      <c r="E396">
        <v>48866</v>
      </c>
      <c r="F396">
        <v>188300</v>
      </c>
    </row>
    <row r="397" spans="1:6" x14ac:dyDescent="0.3">
      <c r="A397">
        <v>187488</v>
      </c>
      <c r="B397">
        <v>121573</v>
      </c>
      <c r="C397">
        <v>246262</v>
      </c>
      <c r="D397">
        <v>197396</v>
      </c>
      <c r="E397">
        <v>91637</v>
      </c>
      <c r="F397">
        <v>58044</v>
      </c>
    </row>
    <row r="398" spans="1:6" x14ac:dyDescent="0.3">
      <c r="A398">
        <v>179295</v>
      </c>
      <c r="B398">
        <v>168206</v>
      </c>
      <c r="C398">
        <v>159631</v>
      </c>
      <c r="D398">
        <v>67994</v>
      </c>
      <c r="E398">
        <v>89663</v>
      </c>
      <c r="F398">
        <v>123402</v>
      </c>
    </row>
    <row r="399" spans="1:6" x14ac:dyDescent="0.3">
      <c r="A399">
        <v>117494</v>
      </c>
      <c r="B399">
        <v>68947</v>
      </c>
      <c r="C399">
        <v>225552</v>
      </c>
      <c r="D399">
        <v>135889</v>
      </c>
      <c r="E399">
        <v>70296</v>
      </c>
      <c r="F399">
        <v>41616</v>
      </c>
    </row>
    <row r="400" spans="1:6" x14ac:dyDescent="0.3">
      <c r="A400">
        <v>137960</v>
      </c>
      <c r="B400">
        <v>64682</v>
      </c>
      <c r="C400">
        <v>117742</v>
      </c>
      <c r="D400">
        <v>47446</v>
      </c>
      <c r="E400">
        <v>86906</v>
      </c>
      <c r="F400">
        <v>41325</v>
      </c>
    </row>
    <row r="401" spans="1:6" x14ac:dyDescent="0.3">
      <c r="A401">
        <v>159869</v>
      </c>
      <c r="B401">
        <v>141690</v>
      </c>
      <c r="C401">
        <v>139759</v>
      </c>
      <c r="D401">
        <v>52853</v>
      </c>
      <c r="E401">
        <v>70267</v>
      </c>
      <c r="F401">
        <v>121361</v>
      </c>
    </row>
    <row r="402" spans="1:6" x14ac:dyDescent="0.3">
      <c r="A402">
        <v>148696</v>
      </c>
      <c r="B402">
        <v>87757</v>
      </c>
      <c r="C402">
        <v>210471</v>
      </c>
      <c r="D402">
        <v>140204</v>
      </c>
      <c r="E402">
        <v>71526</v>
      </c>
      <c r="F402">
        <v>53298</v>
      </c>
    </row>
    <row r="403" spans="1:6" x14ac:dyDescent="0.3">
      <c r="A403">
        <v>136661</v>
      </c>
      <c r="B403">
        <v>103915</v>
      </c>
      <c r="C403">
        <v>137273</v>
      </c>
      <c r="D403">
        <v>65747</v>
      </c>
      <c r="E403">
        <v>73810</v>
      </c>
      <c r="F403">
        <v>98334</v>
      </c>
    </row>
    <row r="404" spans="1:6" x14ac:dyDescent="0.3">
      <c r="A404">
        <v>183669</v>
      </c>
      <c r="B404">
        <v>107992</v>
      </c>
      <c r="C404">
        <v>191905</v>
      </c>
      <c r="D404">
        <v>118095</v>
      </c>
      <c r="E404">
        <v>89567</v>
      </c>
      <c r="F404">
        <v>24047</v>
      </c>
    </row>
    <row r="405" spans="1:6" x14ac:dyDescent="0.3">
      <c r="A405">
        <v>62109</v>
      </c>
      <c r="B405">
        <v>30099</v>
      </c>
      <c r="C405">
        <v>130651</v>
      </c>
      <c r="D405">
        <v>41084</v>
      </c>
      <c r="E405">
        <v>23472</v>
      </c>
      <c r="F405">
        <v>16607</v>
      </c>
    </row>
    <row r="406" spans="1:6" x14ac:dyDescent="0.3">
      <c r="A406">
        <v>84518</v>
      </c>
      <c r="B406">
        <v>20609</v>
      </c>
      <c r="C406">
        <v>58886</v>
      </c>
      <c r="D406">
        <v>35414</v>
      </c>
      <c r="E406">
        <v>84624</v>
      </c>
      <c r="F406">
        <v>-42946</v>
      </c>
    </row>
    <row r="407" spans="1:6" x14ac:dyDescent="0.3">
      <c r="A407">
        <v>55075</v>
      </c>
      <c r="B407">
        <v>-3379</v>
      </c>
      <c r="C407">
        <v>58960</v>
      </c>
      <c r="D407">
        <v>-25664</v>
      </c>
      <c r="E407">
        <v>87766</v>
      </c>
      <c r="F407">
        <v>-60212</v>
      </c>
    </row>
    <row r="408" spans="1:6" x14ac:dyDescent="0.3">
      <c r="A408">
        <v>144840</v>
      </c>
      <c r="B408">
        <v>82698</v>
      </c>
      <c r="C408">
        <v>44986</v>
      </c>
      <c r="D408">
        <v>-42780</v>
      </c>
      <c r="E408">
        <v>19493</v>
      </c>
      <c r="F408">
        <v>120195</v>
      </c>
    </row>
    <row r="409" spans="1:6" x14ac:dyDescent="0.3">
      <c r="A409">
        <v>93472</v>
      </c>
      <c r="B409">
        <v>34035</v>
      </c>
      <c r="C409">
        <v>159005</v>
      </c>
      <c r="D409">
        <v>139512</v>
      </c>
      <c r="E409">
        <v>74711</v>
      </c>
      <c r="F409">
        <v>19924</v>
      </c>
    </row>
    <row r="410" spans="1:6" x14ac:dyDescent="0.3">
      <c r="A410">
        <v>96733</v>
      </c>
      <c r="B410">
        <v>75493</v>
      </c>
      <c r="C410">
        <v>103451</v>
      </c>
      <c r="D410">
        <v>28740</v>
      </c>
      <c r="E410">
        <v>86363</v>
      </c>
      <c r="F410">
        <v>97105</v>
      </c>
    </row>
    <row r="411" spans="1:6" x14ac:dyDescent="0.3">
      <c r="A411">
        <v>64849</v>
      </c>
      <c r="B411">
        <v>-20</v>
      </c>
      <c r="C411">
        <v>193727</v>
      </c>
      <c r="D411">
        <v>107364</v>
      </c>
      <c r="E411">
        <v>85910</v>
      </c>
      <c r="F411">
        <v>-7359</v>
      </c>
    </row>
    <row r="412" spans="1:6" x14ac:dyDescent="0.3">
      <c r="A412">
        <v>101631</v>
      </c>
      <c r="B412">
        <v>81746</v>
      </c>
      <c r="C412">
        <v>83075</v>
      </c>
      <c r="D412">
        <v>-2835</v>
      </c>
      <c r="E412">
        <v>69306</v>
      </c>
      <c r="F412">
        <v>89321</v>
      </c>
    </row>
    <row r="413" spans="1:6" x14ac:dyDescent="0.3">
      <c r="A413">
        <v>145998</v>
      </c>
      <c r="B413">
        <v>86186</v>
      </c>
      <c r="C413">
        <v>161405</v>
      </c>
      <c r="D413">
        <v>92099</v>
      </c>
      <c r="E413">
        <v>94151</v>
      </c>
      <c r="F413">
        <v>48403</v>
      </c>
    </row>
    <row r="414" spans="1:6" x14ac:dyDescent="0.3">
      <c r="A414">
        <v>66288</v>
      </c>
      <c r="B414">
        <v>-11292</v>
      </c>
      <c r="C414">
        <v>156686</v>
      </c>
      <c r="D414">
        <v>62535</v>
      </c>
      <c r="E414">
        <v>61403</v>
      </c>
      <c r="F414">
        <v>-56495</v>
      </c>
    </row>
    <row r="415" spans="1:6" x14ac:dyDescent="0.3">
      <c r="A415">
        <v>109871</v>
      </c>
      <c r="B415">
        <v>67697</v>
      </c>
      <c r="C415">
        <v>16076</v>
      </c>
      <c r="D415">
        <v>-45327</v>
      </c>
      <c r="E415">
        <v>21581</v>
      </c>
      <c r="F415">
        <v>152016</v>
      </c>
    </row>
    <row r="416" spans="1:6" x14ac:dyDescent="0.3">
      <c r="A416">
        <v>76649</v>
      </c>
      <c r="B416">
        <v>52082</v>
      </c>
      <c r="C416">
        <v>187448</v>
      </c>
      <c r="D416">
        <v>165867</v>
      </c>
      <c r="E416">
        <v>76944</v>
      </c>
      <c r="F416">
        <v>61076</v>
      </c>
    </row>
    <row r="417" spans="1:6" x14ac:dyDescent="0.3">
      <c r="A417">
        <v>198934</v>
      </c>
      <c r="B417">
        <v>145579</v>
      </c>
      <c r="C417">
        <v>152486</v>
      </c>
      <c r="D417">
        <v>75542</v>
      </c>
      <c r="E417">
        <v>45795</v>
      </c>
      <c r="F417">
        <v>132743</v>
      </c>
    </row>
    <row r="418" spans="1:6" x14ac:dyDescent="0.3">
      <c r="A418">
        <v>181265</v>
      </c>
      <c r="B418">
        <v>153696</v>
      </c>
      <c r="C418">
        <v>196838</v>
      </c>
      <c r="D418">
        <v>151043</v>
      </c>
      <c r="E418">
        <v>77824</v>
      </c>
      <c r="F418">
        <v>95078</v>
      </c>
    </row>
    <row r="419" spans="1:6" x14ac:dyDescent="0.3">
      <c r="A419">
        <v>90197</v>
      </c>
      <c r="B419">
        <v>77936</v>
      </c>
      <c r="C419">
        <v>184886</v>
      </c>
      <c r="D419">
        <v>107062</v>
      </c>
      <c r="E419">
        <v>41512</v>
      </c>
      <c r="F419">
        <v>141613</v>
      </c>
    </row>
    <row r="420" spans="1:6" x14ac:dyDescent="0.3">
      <c r="A420">
        <v>185450</v>
      </c>
      <c r="B420">
        <v>134867</v>
      </c>
      <c r="C420">
        <v>191841</v>
      </c>
      <c r="D420">
        <v>150329</v>
      </c>
      <c r="E420">
        <v>44033</v>
      </c>
      <c r="F420">
        <v>181477</v>
      </c>
    </row>
    <row r="421" spans="1:6" x14ac:dyDescent="0.3">
      <c r="A421">
        <v>145074</v>
      </c>
      <c r="B421">
        <v>129664</v>
      </c>
      <c r="C421">
        <v>240238</v>
      </c>
      <c r="D421">
        <v>196205</v>
      </c>
      <c r="E421">
        <v>71044</v>
      </c>
      <c r="F421">
        <v>154187</v>
      </c>
    </row>
    <row r="422" spans="1:6" x14ac:dyDescent="0.3">
      <c r="A422">
        <v>104245</v>
      </c>
      <c r="B422">
        <v>51189</v>
      </c>
      <c r="C422">
        <v>233039</v>
      </c>
      <c r="D422">
        <v>161995</v>
      </c>
      <c r="E422">
        <v>73557</v>
      </c>
      <c r="F422">
        <v>-4202</v>
      </c>
    </row>
    <row r="423" spans="1:6" x14ac:dyDescent="0.3">
      <c r="A423">
        <v>146038</v>
      </c>
      <c r="B423">
        <v>119314</v>
      </c>
      <c r="C423">
        <v>88898</v>
      </c>
      <c r="D423">
        <v>15341</v>
      </c>
      <c r="E423">
        <v>32087</v>
      </c>
      <c r="F423">
        <v>96450</v>
      </c>
    </row>
    <row r="424" spans="1:6" x14ac:dyDescent="0.3">
      <c r="A424">
        <v>115333</v>
      </c>
      <c r="B424">
        <v>54381</v>
      </c>
      <c r="C424">
        <v>143142</v>
      </c>
      <c r="D424">
        <v>111055</v>
      </c>
      <c r="E424">
        <v>85448</v>
      </c>
      <c r="F424">
        <v>-12252</v>
      </c>
    </row>
    <row r="425" spans="1:6" x14ac:dyDescent="0.3">
      <c r="A425">
        <v>85634</v>
      </c>
      <c r="B425">
        <v>31032</v>
      </c>
      <c r="C425">
        <v>79844</v>
      </c>
      <c r="D425">
        <v>-5604</v>
      </c>
      <c r="E425">
        <v>83648</v>
      </c>
      <c r="F425">
        <v>10226</v>
      </c>
    </row>
    <row r="426" spans="1:6" x14ac:dyDescent="0.3">
      <c r="A426">
        <v>131554</v>
      </c>
      <c r="B426">
        <v>100168</v>
      </c>
      <c r="C426">
        <v>100366</v>
      </c>
      <c r="D426">
        <v>16718</v>
      </c>
      <c r="E426">
        <v>74518</v>
      </c>
      <c r="F426">
        <v>115495</v>
      </c>
    </row>
    <row r="427" spans="1:6" x14ac:dyDescent="0.3">
      <c r="A427">
        <v>128279</v>
      </c>
      <c r="B427">
        <v>57931</v>
      </c>
      <c r="C427">
        <v>203444</v>
      </c>
      <c r="D427">
        <v>128926</v>
      </c>
      <c r="E427">
        <v>87124</v>
      </c>
      <c r="F427">
        <v>40780</v>
      </c>
    </row>
    <row r="428" spans="1:6" x14ac:dyDescent="0.3">
      <c r="A428">
        <v>184393</v>
      </c>
      <c r="B428">
        <v>137010</v>
      </c>
      <c r="C428">
        <v>133215</v>
      </c>
      <c r="D428">
        <v>46091</v>
      </c>
      <c r="E428">
        <v>94190</v>
      </c>
      <c r="F428">
        <v>136450</v>
      </c>
    </row>
    <row r="429" spans="1:6" x14ac:dyDescent="0.3">
      <c r="A429">
        <v>184832</v>
      </c>
      <c r="B429">
        <v>152642</v>
      </c>
      <c r="C429">
        <v>235692</v>
      </c>
      <c r="D429">
        <v>141502</v>
      </c>
      <c r="E429">
        <v>38377</v>
      </c>
      <c r="F429">
        <v>185707</v>
      </c>
    </row>
    <row r="430" spans="1:6" x14ac:dyDescent="0.3">
      <c r="A430">
        <v>53744</v>
      </c>
      <c r="B430">
        <v>18749</v>
      </c>
      <c r="C430">
        <v>240053</v>
      </c>
      <c r="D430">
        <v>201676</v>
      </c>
      <c r="E430">
        <v>49542</v>
      </c>
      <c r="F430">
        <v>-6467</v>
      </c>
    </row>
    <row r="431" spans="1:6" x14ac:dyDescent="0.3">
      <c r="A431">
        <v>152112</v>
      </c>
      <c r="B431">
        <v>125397</v>
      </c>
      <c r="C431">
        <v>55726</v>
      </c>
      <c r="D431">
        <v>6184</v>
      </c>
      <c r="E431">
        <v>39306</v>
      </c>
      <c r="F431">
        <v>134124</v>
      </c>
    </row>
    <row r="432" spans="1:6" x14ac:dyDescent="0.3">
      <c r="A432">
        <v>136120</v>
      </c>
      <c r="B432">
        <v>74471</v>
      </c>
      <c r="C432">
        <v>189806</v>
      </c>
      <c r="D432">
        <v>150500</v>
      </c>
      <c r="E432">
        <v>25058</v>
      </c>
      <c r="F432">
        <v>92922</v>
      </c>
    </row>
    <row r="433" spans="1:6" x14ac:dyDescent="0.3">
      <c r="A433">
        <v>126917</v>
      </c>
      <c r="B433">
        <v>52717</v>
      </c>
      <c r="C433">
        <v>129081</v>
      </c>
      <c r="D433">
        <v>104023</v>
      </c>
      <c r="E433">
        <v>32154</v>
      </c>
      <c r="F433">
        <v>73405</v>
      </c>
    </row>
    <row r="434" spans="1:6" x14ac:dyDescent="0.3">
      <c r="A434">
        <v>187103</v>
      </c>
      <c r="B434">
        <v>154318</v>
      </c>
      <c r="C434">
        <v>119336</v>
      </c>
      <c r="D434">
        <v>87182</v>
      </c>
      <c r="E434">
        <v>43669</v>
      </c>
      <c r="F434">
        <v>205295</v>
      </c>
    </row>
    <row r="435" spans="1:6" x14ac:dyDescent="0.3">
      <c r="A435">
        <v>117534</v>
      </c>
      <c r="B435">
        <v>75829</v>
      </c>
      <c r="C435">
        <v>253246</v>
      </c>
      <c r="D435">
        <v>209577</v>
      </c>
      <c r="E435">
        <v>89964</v>
      </c>
      <c r="F435">
        <v>37440</v>
      </c>
    </row>
    <row r="436" spans="1:6" x14ac:dyDescent="0.3">
      <c r="A436">
        <v>169006</v>
      </c>
      <c r="B436">
        <v>108423</v>
      </c>
      <c r="C436">
        <v>134073</v>
      </c>
      <c r="D436">
        <v>44109</v>
      </c>
      <c r="E436">
        <v>22461</v>
      </c>
      <c r="F436">
        <v>140535</v>
      </c>
    </row>
    <row r="437" spans="1:6" x14ac:dyDescent="0.3">
      <c r="A437">
        <v>198586</v>
      </c>
      <c r="B437">
        <v>152318</v>
      </c>
      <c r="C437">
        <v>166815</v>
      </c>
      <c r="D437">
        <v>144354</v>
      </c>
      <c r="E437">
        <v>51788</v>
      </c>
      <c r="F437">
        <v>198803</v>
      </c>
    </row>
    <row r="438" spans="1:6" x14ac:dyDescent="0.3">
      <c r="A438">
        <v>143547</v>
      </c>
      <c r="B438">
        <v>90698</v>
      </c>
      <c r="C438">
        <v>262804</v>
      </c>
      <c r="D438">
        <v>211016</v>
      </c>
      <c r="E438">
        <v>99162</v>
      </c>
      <c r="F438">
        <v>13927</v>
      </c>
    </row>
    <row r="439" spans="1:6" x14ac:dyDescent="0.3">
      <c r="A439">
        <v>104312</v>
      </c>
      <c r="B439">
        <v>25642</v>
      </c>
      <c r="C439">
        <v>128556</v>
      </c>
      <c r="D439">
        <v>29394</v>
      </c>
      <c r="E439">
        <v>30434</v>
      </c>
      <c r="F439">
        <v>80480</v>
      </c>
    </row>
    <row r="440" spans="1:6" x14ac:dyDescent="0.3">
      <c r="A440">
        <v>133555</v>
      </c>
      <c r="B440">
        <v>77821</v>
      </c>
      <c r="C440">
        <v>127921</v>
      </c>
      <c r="D440">
        <v>97487</v>
      </c>
      <c r="E440">
        <v>55603</v>
      </c>
      <c r="F440">
        <v>117549</v>
      </c>
    </row>
    <row r="441" spans="1:6" x14ac:dyDescent="0.3">
      <c r="A441">
        <v>141703</v>
      </c>
      <c r="B441">
        <v>110391</v>
      </c>
      <c r="C441">
        <v>186324</v>
      </c>
      <c r="D441">
        <v>130721</v>
      </c>
      <c r="E441">
        <v>99526</v>
      </c>
      <c r="F441">
        <v>110830</v>
      </c>
    </row>
    <row r="442" spans="1:6" x14ac:dyDescent="0.3">
      <c r="A442">
        <v>90379</v>
      </c>
      <c r="B442">
        <v>63082</v>
      </c>
      <c r="C442">
        <v>223767</v>
      </c>
      <c r="D442">
        <v>124241</v>
      </c>
      <c r="E442">
        <v>59014</v>
      </c>
      <c r="F442">
        <v>10289</v>
      </c>
    </row>
    <row r="443" spans="1:6" x14ac:dyDescent="0.3">
      <c r="A443">
        <v>61120</v>
      </c>
      <c r="B443">
        <v>42353</v>
      </c>
      <c r="C443">
        <v>85093</v>
      </c>
      <c r="D443">
        <v>26079</v>
      </c>
      <c r="E443">
        <v>94239</v>
      </c>
      <c r="F443">
        <v>-11963</v>
      </c>
    </row>
    <row r="444" spans="1:6" x14ac:dyDescent="0.3">
      <c r="A444">
        <v>145040</v>
      </c>
      <c r="B444">
        <v>117602</v>
      </c>
      <c r="C444">
        <v>85205</v>
      </c>
      <c r="D444">
        <v>-9034</v>
      </c>
      <c r="E444">
        <v>20744</v>
      </c>
      <c r="F444">
        <v>153724</v>
      </c>
    </row>
    <row r="445" spans="1:6" x14ac:dyDescent="0.3">
      <c r="A445">
        <v>92359</v>
      </c>
      <c r="B445">
        <v>62560</v>
      </c>
      <c r="C445">
        <v>186117</v>
      </c>
      <c r="D445">
        <v>165373</v>
      </c>
      <c r="E445">
        <v>85188</v>
      </c>
      <c r="F445">
        <v>84748</v>
      </c>
    </row>
    <row r="446" spans="1:6" x14ac:dyDescent="0.3">
      <c r="A446">
        <v>164650</v>
      </c>
      <c r="B446">
        <v>128233</v>
      </c>
      <c r="C446">
        <v>181306</v>
      </c>
      <c r="D446">
        <v>96118</v>
      </c>
      <c r="E446">
        <v>94674</v>
      </c>
      <c r="F446">
        <v>52958</v>
      </c>
    </row>
    <row r="447" spans="1:6" x14ac:dyDescent="0.3">
      <c r="A447">
        <v>183241</v>
      </c>
      <c r="B447">
        <v>151189</v>
      </c>
      <c r="C447">
        <v>166926</v>
      </c>
      <c r="D447">
        <v>72252</v>
      </c>
      <c r="E447">
        <v>88851</v>
      </c>
      <c r="F447">
        <v>144151</v>
      </c>
    </row>
    <row r="448" spans="1:6" x14ac:dyDescent="0.3">
      <c r="A448">
        <v>187416</v>
      </c>
      <c r="B448">
        <v>158616</v>
      </c>
      <c r="C448">
        <v>243038</v>
      </c>
      <c r="D448">
        <v>154187</v>
      </c>
      <c r="E448">
        <v>76516</v>
      </c>
      <c r="F448">
        <v>110499</v>
      </c>
    </row>
    <row r="449" spans="1:6" x14ac:dyDescent="0.3">
      <c r="A449">
        <v>160659</v>
      </c>
      <c r="B449">
        <v>122943</v>
      </c>
      <c r="C449">
        <v>203988</v>
      </c>
      <c r="D449">
        <v>127472</v>
      </c>
      <c r="E449">
        <v>30848</v>
      </c>
      <c r="F449">
        <v>110979</v>
      </c>
    </row>
    <row r="450" spans="1:6" x14ac:dyDescent="0.3">
      <c r="A450">
        <v>58556</v>
      </c>
      <c r="B450">
        <v>43058</v>
      </c>
      <c r="C450">
        <v>146179</v>
      </c>
      <c r="D450">
        <v>115331</v>
      </c>
      <c r="E450">
        <v>65098</v>
      </c>
      <c r="F450">
        <v>58213</v>
      </c>
    </row>
    <row r="451" spans="1:6" x14ac:dyDescent="0.3">
      <c r="A451">
        <v>176060</v>
      </c>
      <c r="B451">
        <v>109178</v>
      </c>
      <c r="C451">
        <v>139176</v>
      </c>
      <c r="D451">
        <v>74078</v>
      </c>
      <c r="E451">
        <v>15340</v>
      </c>
      <c r="F451">
        <v>171050</v>
      </c>
    </row>
    <row r="452" spans="1:6" x14ac:dyDescent="0.3">
      <c r="A452">
        <v>50138</v>
      </c>
      <c r="B452">
        <v>39780</v>
      </c>
      <c r="C452">
        <v>199571</v>
      </c>
      <c r="D452">
        <v>184231</v>
      </c>
      <c r="E452">
        <v>45654</v>
      </c>
      <c r="F452">
        <v>71380</v>
      </c>
    </row>
    <row r="453" spans="1:6" x14ac:dyDescent="0.3">
      <c r="A453">
        <v>108478</v>
      </c>
      <c r="B453">
        <v>34125</v>
      </c>
      <c r="C453">
        <v>135030</v>
      </c>
      <c r="D453">
        <v>89376</v>
      </c>
      <c r="E453">
        <v>28283</v>
      </c>
      <c r="F453">
        <v>43952</v>
      </c>
    </row>
    <row r="454" spans="1:6" x14ac:dyDescent="0.3">
      <c r="A454">
        <v>70219</v>
      </c>
      <c r="B454">
        <v>3050</v>
      </c>
      <c r="C454">
        <v>80887</v>
      </c>
      <c r="D454">
        <v>52604</v>
      </c>
      <c r="E454">
        <v>61840</v>
      </c>
      <c r="F454">
        <v>22248</v>
      </c>
    </row>
    <row r="455" spans="1:6" x14ac:dyDescent="0.3">
      <c r="A455">
        <v>127988</v>
      </c>
      <c r="B455">
        <v>59646</v>
      </c>
      <c r="C455">
        <v>98015</v>
      </c>
      <c r="D455">
        <v>36175</v>
      </c>
      <c r="E455">
        <v>16307</v>
      </c>
      <c r="F455">
        <v>65438</v>
      </c>
    </row>
    <row r="456" spans="1:6" x14ac:dyDescent="0.3">
      <c r="A456">
        <v>142021</v>
      </c>
      <c r="B456">
        <v>93046</v>
      </c>
      <c r="C456">
        <v>98597</v>
      </c>
      <c r="D456">
        <v>82290</v>
      </c>
      <c r="E456">
        <v>39842</v>
      </c>
      <c r="F456">
        <v>70636</v>
      </c>
    </row>
    <row r="457" spans="1:6" x14ac:dyDescent="0.3">
      <c r="A457">
        <v>126021</v>
      </c>
      <c r="B457">
        <v>87713</v>
      </c>
      <c r="C457">
        <v>114186</v>
      </c>
      <c r="D457">
        <v>74344</v>
      </c>
      <c r="E457">
        <v>70690</v>
      </c>
      <c r="F457">
        <v>62953</v>
      </c>
    </row>
    <row r="458" spans="1:6" x14ac:dyDescent="0.3">
      <c r="A458">
        <v>182279</v>
      </c>
      <c r="B458">
        <v>126180</v>
      </c>
      <c r="C458">
        <v>152502</v>
      </c>
      <c r="D458">
        <v>81812</v>
      </c>
      <c r="E458">
        <v>81093</v>
      </c>
      <c r="F458">
        <v>114700</v>
      </c>
    </row>
    <row r="459" spans="1:6" x14ac:dyDescent="0.3">
      <c r="A459">
        <v>116418</v>
      </c>
      <c r="B459">
        <v>46407</v>
      </c>
      <c r="C459">
        <v>213676</v>
      </c>
      <c r="D459">
        <v>132583</v>
      </c>
      <c r="E459">
        <v>71115</v>
      </c>
      <c r="F459">
        <v>19058</v>
      </c>
    </row>
    <row r="460" spans="1:6" x14ac:dyDescent="0.3">
      <c r="A460">
        <v>156233</v>
      </c>
      <c r="B460">
        <v>87279</v>
      </c>
      <c r="C460">
        <v>105042</v>
      </c>
      <c r="D460">
        <v>33927</v>
      </c>
      <c r="E460">
        <v>94063</v>
      </c>
      <c r="F460">
        <v>36826</v>
      </c>
    </row>
    <row r="461" spans="1:6" x14ac:dyDescent="0.3">
      <c r="A461">
        <v>68354</v>
      </c>
      <c r="B461">
        <v>36164</v>
      </c>
      <c r="C461">
        <v>135343</v>
      </c>
      <c r="D461">
        <v>41280</v>
      </c>
      <c r="E461">
        <v>45386</v>
      </c>
      <c r="F461">
        <v>65360</v>
      </c>
    </row>
    <row r="462" spans="1:6" x14ac:dyDescent="0.3">
      <c r="A462">
        <v>175438</v>
      </c>
      <c r="B462">
        <v>116982</v>
      </c>
      <c r="C462">
        <v>128055</v>
      </c>
      <c r="D462">
        <v>82669</v>
      </c>
      <c r="E462">
        <v>43398</v>
      </c>
      <c r="F462">
        <v>7814</v>
      </c>
    </row>
    <row r="463" spans="1:6" x14ac:dyDescent="0.3">
      <c r="A463">
        <v>152239</v>
      </c>
      <c r="B463">
        <v>101729</v>
      </c>
      <c r="C463">
        <v>62306</v>
      </c>
      <c r="D463">
        <v>18908</v>
      </c>
      <c r="E463">
        <v>23016</v>
      </c>
      <c r="F463">
        <v>244145</v>
      </c>
    </row>
    <row r="464" spans="1:6" x14ac:dyDescent="0.3">
      <c r="A464">
        <v>74045</v>
      </c>
      <c r="B464">
        <v>13169</v>
      </c>
      <c r="C464">
        <v>219017</v>
      </c>
      <c r="D464">
        <v>196001</v>
      </c>
      <c r="E464">
        <v>36826</v>
      </c>
      <c r="F464">
        <v>129346</v>
      </c>
    </row>
    <row r="465" spans="1:6" x14ac:dyDescent="0.3">
      <c r="A465">
        <v>186917</v>
      </c>
      <c r="B465">
        <v>140243</v>
      </c>
      <c r="C465">
        <v>170662</v>
      </c>
      <c r="D465">
        <v>133836</v>
      </c>
      <c r="E465">
        <v>66919</v>
      </c>
      <c r="F465">
        <v>55559</v>
      </c>
    </row>
    <row r="466" spans="1:6" x14ac:dyDescent="0.3">
      <c r="A466">
        <v>102887</v>
      </c>
      <c r="B466">
        <v>43040</v>
      </c>
      <c r="C466">
        <v>125615</v>
      </c>
      <c r="D466">
        <v>58696</v>
      </c>
      <c r="E466">
        <v>37313</v>
      </c>
      <c r="F466">
        <v>127854</v>
      </c>
    </row>
    <row r="467" spans="1:6" x14ac:dyDescent="0.3">
      <c r="A467">
        <v>134761</v>
      </c>
      <c r="B467">
        <v>87785</v>
      </c>
      <c r="C467">
        <v>179580</v>
      </c>
      <c r="D467">
        <v>142267</v>
      </c>
      <c r="E467">
        <v>71622</v>
      </c>
      <c r="F467">
        <v>35765</v>
      </c>
    </row>
    <row r="468" spans="1:6" x14ac:dyDescent="0.3">
      <c r="A468">
        <v>190836</v>
      </c>
      <c r="B468">
        <v>138109</v>
      </c>
      <c r="C468">
        <v>121693</v>
      </c>
      <c r="D468">
        <v>50071</v>
      </c>
      <c r="E468">
        <v>25886</v>
      </c>
      <c r="F468">
        <v>78623</v>
      </c>
    </row>
    <row r="469" spans="1:6" x14ac:dyDescent="0.3">
      <c r="A469">
        <v>156752</v>
      </c>
      <c r="B469">
        <v>126621</v>
      </c>
      <c r="C469">
        <v>119375</v>
      </c>
      <c r="D469">
        <v>93489</v>
      </c>
      <c r="E469">
        <v>23068</v>
      </c>
      <c r="F469">
        <v>204217</v>
      </c>
    </row>
    <row r="470" spans="1:6" x14ac:dyDescent="0.3">
      <c r="A470">
        <v>127064</v>
      </c>
      <c r="B470">
        <v>95783</v>
      </c>
      <c r="C470">
        <v>236580</v>
      </c>
      <c r="D470">
        <v>213512</v>
      </c>
      <c r="E470">
        <v>90969</v>
      </c>
      <c r="F470">
        <v>133368</v>
      </c>
    </row>
    <row r="471" spans="1:6" x14ac:dyDescent="0.3">
      <c r="A471">
        <v>69810</v>
      </c>
      <c r="B471">
        <v>35488</v>
      </c>
      <c r="C471">
        <v>241375</v>
      </c>
      <c r="D471">
        <v>150406</v>
      </c>
      <c r="E471">
        <v>63511</v>
      </c>
      <c r="F471">
        <v>95856</v>
      </c>
    </row>
    <row r="472" spans="1:6" x14ac:dyDescent="0.3">
      <c r="A472">
        <v>72031</v>
      </c>
      <c r="B472">
        <v>2265</v>
      </c>
      <c r="C472">
        <v>169972</v>
      </c>
      <c r="D472">
        <v>106461</v>
      </c>
      <c r="E472">
        <v>47955</v>
      </c>
      <c r="F472">
        <v>35454</v>
      </c>
    </row>
    <row r="473" spans="1:6" x14ac:dyDescent="0.3">
      <c r="A473">
        <v>161041</v>
      </c>
      <c r="B473">
        <v>104949</v>
      </c>
      <c r="C473">
        <v>97357</v>
      </c>
      <c r="D473">
        <v>49402</v>
      </c>
      <c r="E473">
        <v>71699</v>
      </c>
      <c r="F473">
        <v>-46808</v>
      </c>
    </row>
    <row r="474" spans="1:6" x14ac:dyDescent="0.3">
      <c r="A474">
        <v>198694</v>
      </c>
      <c r="B474">
        <v>135577</v>
      </c>
      <c r="C474">
        <v>34714</v>
      </c>
      <c r="D474">
        <v>-36985</v>
      </c>
      <c r="E474">
        <v>25350</v>
      </c>
      <c r="F474">
        <v>158715</v>
      </c>
    </row>
    <row r="475" spans="1:6" x14ac:dyDescent="0.3">
      <c r="A475">
        <v>196664</v>
      </c>
      <c r="B475">
        <v>164491</v>
      </c>
      <c r="C475">
        <v>188620</v>
      </c>
      <c r="D475">
        <v>163270</v>
      </c>
      <c r="E475">
        <v>38782</v>
      </c>
      <c r="F475">
        <v>155217</v>
      </c>
    </row>
    <row r="476" spans="1:6" x14ac:dyDescent="0.3">
      <c r="A476">
        <v>174184</v>
      </c>
      <c r="B476">
        <v>133434</v>
      </c>
      <c r="C476">
        <v>213971</v>
      </c>
      <c r="D476">
        <v>175189</v>
      </c>
      <c r="E476">
        <v>50596</v>
      </c>
      <c r="F476">
        <v>163543</v>
      </c>
    </row>
    <row r="477" spans="1:6" x14ac:dyDescent="0.3">
      <c r="A477">
        <v>139571</v>
      </c>
      <c r="B477">
        <v>127982</v>
      </c>
      <c r="C477">
        <v>217695</v>
      </c>
      <c r="D477">
        <v>167099</v>
      </c>
      <c r="E477">
        <v>31566</v>
      </c>
      <c r="F477">
        <v>188790</v>
      </c>
    </row>
    <row r="478" spans="1:6" x14ac:dyDescent="0.3">
      <c r="A478">
        <v>157507</v>
      </c>
      <c r="B478">
        <v>139263</v>
      </c>
      <c r="C478">
        <v>229546</v>
      </c>
      <c r="D478">
        <v>197980</v>
      </c>
      <c r="E478">
        <v>15159</v>
      </c>
      <c r="F478">
        <v>143913</v>
      </c>
    </row>
    <row r="479" spans="1:6" x14ac:dyDescent="0.3">
      <c r="A479">
        <v>121126</v>
      </c>
      <c r="B479">
        <v>55055</v>
      </c>
      <c r="C479">
        <v>173217</v>
      </c>
      <c r="D479">
        <v>158058</v>
      </c>
      <c r="E479">
        <v>61101</v>
      </c>
      <c r="F479">
        <v>97564</v>
      </c>
    </row>
    <row r="480" spans="1:6" x14ac:dyDescent="0.3">
      <c r="A480">
        <v>96154</v>
      </c>
      <c r="B480">
        <v>79138</v>
      </c>
      <c r="C480">
        <v>174006</v>
      </c>
      <c r="D480">
        <v>112905</v>
      </c>
      <c r="E480">
        <v>89763</v>
      </c>
      <c r="F480">
        <v>48367</v>
      </c>
    </row>
    <row r="481" spans="1:6" x14ac:dyDescent="0.3">
      <c r="A481">
        <v>139081</v>
      </c>
      <c r="B481">
        <v>97184</v>
      </c>
      <c r="C481">
        <v>146176</v>
      </c>
      <c r="D481">
        <v>56413</v>
      </c>
      <c r="E481">
        <v>63688</v>
      </c>
      <c r="F481">
        <v>99261</v>
      </c>
    </row>
    <row r="482" spans="1:6" x14ac:dyDescent="0.3">
      <c r="A482">
        <v>112551</v>
      </c>
      <c r="B482">
        <v>44390</v>
      </c>
      <c r="C482">
        <v>178701</v>
      </c>
      <c r="D482">
        <v>115013</v>
      </c>
      <c r="E482">
        <v>83703</v>
      </c>
      <c r="F482">
        <v>70453</v>
      </c>
    </row>
    <row r="483" spans="1:6" x14ac:dyDescent="0.3">
      <c r="A483">
        <v>105103</v>
      </c>
      <c r="B483">
        <v>53476</v>
      </c>
      <c r="C483">
        <v>168145</v>
      </c>
      <c r="D483">
        <v>84442</v>
      </c>
      <c r="E483">
        <v>37440</v>
      </c>
      <c r="F483">
        <v>102136</v>
      </c>
    </row>
    <row r="484" spans="1:6" x14ac:dyDescent="0.3">
      <c r="A484">
        <v>197281</v>
      </c>
      <c r="B484">
        <v>144133</v>
      </c>
      <c r="C484">
        <v>144013</v>
      </c>
      <c r="D484">
        <v>106573</v>
      </c>
      <c r="E484">
        <v>86274</v>
      </c>
      <c r="F484">
        <v>-1583</v>
      </c>
    </row>
    <row r="485" spans="1:6" x14ac:dyDescent="0.3">
      <c r="A485">
        <v>170779</v>
      </c>
      <c r="B485">
        <v>128338</v>
      </c>
      <c r="C485">
        <v>92484</v>
      </c>
      <c r="D485">
        <v>6210</v>
      </c>
      <c r="E485">
        <v>17224</v>
      </c>
      <c r="F485">
        <v>227738</v>
      </c>
    </row>
    <row r="486" spans="1:6" x14ac:dyDescent="0.3">
      <c r="A486">
        <v>73478</v>
      </c>
      <c r="B486">
        <v>51298</v>
      </c>
      <c r="C486">
        <v>255351</v>
      </c>
      <c r="D486">
        <v>238127</v>
      </c>
      <c r="E486">
        <v>77368</v>
      </c>
      <c r="F486">
        <v>96008</v>
      </c>
    </row>
    <row r="487" spans="1:6" x14ac:dyDescent="0.3">
      <c r="A487">
        <v>161022</v>
      </c>
      <c r="B487">
        <v>96982</v>
      </c>
      <c r="C487">
        <v>187467</v>
      </c>
      <c r="D487">
        <v>110099</v>
      </c>
      <c r="E487">
        <v>30372</v>
      </c>
      <c r="F487">
        <v>136942</v>
      </c>
    </row>
    <row r="488" spans="1:6" x14ac:dyDescent="0.3">
      <c r="A488">
        <v>55842</v>
      </c>
      <c r="B488">
        <v>-17273</v>
      </c>
      <c r="C488">
        <v>169836</v>
      </c>
      <c r="D488">
        <v>139464</v>
      </c>
      <c r="E488">
        <v>86368</v>
      </c>
      <c r="F488">
        <v>91151</v>
      </c>
    </row>
    <row r="489" spans="1:6" x14ac:dyDescent="0.3">
      <c r="A489">
        <v>116914</v>
      </c>
      <c r="B489">
        <v>39859</v>
      </c>
      <c r="C489">
        <v>192339</v>
      </c>
      <c r="D489">
        <v>105971</v>
      </c>
      <c r="E489">
        <v>60968</v>
      </c>
      <c r="F489">
        <v>-10897</v>
      </c>
    </row>
    <row r="490" spans="1:6" x14ac:dyDescent="0.3">
      <c r="A490">
        <v>52257</v>
      </c>
      <c r="B490">
        <v>14893</v>
      </c>
      <c r="C490">
        <v>69579</v>
      </c>
      <c r="D490">
        <v>8611</v>
      </c>
      <c r="E490">
        <v>20355</v>
      </c>
      <c r="F490">
        <v>116118</v>
      </c>
    </row>
    <row r="491" spans="1:6" x14ac:dyDescent="0.3">
      <c r="A491">
        <v>70808</v>
      </c>
      <c r="B491">
        <v>8419</v>
      </c>
      <c r="C491">
        <v>147556</v>
      </c>
      <c r="D491">
        <v>127201</v>
      </c>
      <c r="E491">
        <v>41654</v>
      </c>
      <c r="F491">
        <v>978</v>
      </c>
    </row>
    <row r="492" spans="1:6" x14ac:dyDescent="0.3">
      <c r="A492">
        <v>107505</v>
      </c>
      <c r="B492">
        <v>79370</v>
      </c>
      <c r="C492">
        <v>59865</v>
      </c>
      <c r="D492">
        <v>18211</v>
      </c>
      <c r="E492">
        <v>49773</v>
      </c>
      <c r="F492">
        <v>61476</v>
      </c>
    </row>
    <row r="493" spans="1:6" x14ac:dyDescent="0.3">
      <c r="A493">
        <v>66923</v>
      </c>
      <c r="B493">
        <v>9332</v>
      </c>
      <c r="C493">
        <v>124109</v>
      </c>
      <c r="D493">
        <v>74336</v>
      </c>
      <c r="E493">
        <v>62377</v>
      </c>
      <c r="F493">
        <v>109517</v>
      </c>
    </row>
    <row r="494" spans="1:6" x14ac:dyDescent="0.3">
      <c r="A494">
        <v>76672</v>
      </c>
      <c r="B494">
        <v>62459</v>
      </c>
      <c r="C494">
        <v>190257</v>
      </c>
      <c r="D494">
        <v>127880</v>
      </c>
      <c r="E494">
        <v>69336</v>
      </c>
      <c r="F494">
        <v>11710</v>
      </c>
    </row>
    <row r="495" spans="1:6" x14ac:dyDescent="0.3">
      <c r="A495">
        <v>68199</v>
      </c>
      <c r="B495">
        <v>21590</v>
      </c>
      <c r="C495">
        <v>91593</v>
      </c>
      <c r="D495">
        <v>22257</v>
      </c>
      <c r="E495">
        <v>70860</v>
      </c>
      <c r="F495">
        <v>17792</v>
      </c>
    </row>
    <row r="496" spans="1:6" x14ac:dyDescent="0.3">
      <c r="A496">
        <v>74472</v>
      </c>
      <c r="B496">
        <v>12659</v>
      </c>
      <c r="C496">
        <v>92752</v>
      </c>
      <c r="D496">
        <v>21892</v>
      </c>
      <c r="E496">
        <v>69131</v>
      </c>
      <c r="F496">
        <v>-15279</v>
      </c>
    </row>
    <row r="497" spans="1:6" x14ac:dyDescent="0.3">
      <c r="A497">
        <v>182473</v>
      </c>
      <c r="B497">
        <v>157280</v>
      </c>
      <c r="C497">
        <v>84555</v>
      </c>
      <c r="D497">
        <v>61539</v>
      </c>
      <c r="E497">
        <v>59864</v>
      </c>
      <c r="F497">
        <v>203591</v>
      </c>
    </row>
    <row r="498" spans="1:6" x14ac:dyDescent="0.3">
      <c r="A498">
        <v>193022</v>
      </c>
      <c r="B498">
        <v>180277</v>
      </c>
      <c r="C498">
        <v>68680</v>
      </c>
      <c r="D498">
        <v>-451</v>
      </c>
      <c r="E498">
        <v>18866</v>
      </c>
      <c r="F498">
        <v>222698</v>
      </c>
    </row>
    <row r="499" spans="1:6" x14ac:dyDescent="0.3">
      <c r="A499">
        <v>101374</v>
      </c>
      <c r="B499">
        <v>61258</v>
      </c>
      <c r="C499">
        <v>269669</v>
      </c>
      <c r="D499">
        <v>209805</v>
      </c>
      <c r="E499">
        <v>35447</v>
      </c>
      <c r="F499">
        <v>106932</v>
      </c>
    </row>
    <row r="500" spans="1:6" x14ac:dyDescent="0.3">
      <c r="C500">
        <v>255520</v>
      </c>
      <c r="D500">
        <v>236654</v>
      </c>
    </row>
    <row r="501" spans="1:6" x14ac:dyDescent="0.3">
      <c r="C501">
        <v>162287</v>
      </c>
      <c r="D501">
        <v>126840</v>
      </c>
    </row>
  </sheetData>
  <sheetProtection algorithmName="SHA-512" hashValue="QMAw2RW/Un9+oiRTjK3+JIAdJYq1eo1p557NUSBwKMTAGo/65Dh9jIYAb07/lIttSC4y0c11M6IRvaXhbkjDuQ==" saltValue="pretKmHf7RCCTJnc4knLvg==" spinCount="100000" sheet="1" objects="1" scenarios="1"/>
  <pageMargins left="0.7" right="0.7" top="0.75" bottom="0.75" header="0.3" footer="0.3"/>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C2DDF7-FB9E-4F75-9900-52BE77F94C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dashboard</vt:lpstr>
      <vt:lpstr>Powerquery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Ajikobi Motunrola</cp:lastModifiedBy>
  <dcterms:created xsi:type="dcterms:W3CDTF">2025-12-05T13:18:55Z</dcterms:created>
  <dcterms:modified xsi:type="dcterms:W3CDTF">2025-12-27T14:01:35Z</dcterms:modified>
</cp:coreProperties>
</file>